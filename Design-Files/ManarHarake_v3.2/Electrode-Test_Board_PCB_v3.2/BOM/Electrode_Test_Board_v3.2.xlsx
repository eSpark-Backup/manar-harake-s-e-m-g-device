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<sst xmlns="http://schemas.openxmlformats.org/spreadsheetml/2006/main" count="115" uniqueCount="93">
  <si>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</si>
  <si>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</si>
  <si>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</si>
  <si>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</si>
  <si>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</si>
  <si>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</si>
  <si>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</si>
  <si>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</si>
  <si>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</si>
  <si>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</si>
  <si>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</si>
  <si>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C4, C5</t>
  </si>
  <si>
    <t>CAP CER 1UF 16V X5R 0402</t>
  </si>
  <si>
    <t>Cap-0402</t>
  </si>
  <si>
    <t>CC0402KRX5R7BB105</t>
  </si>
  <si>
    <t>Yageo</t>
  </si>
  <si>
    <t>1uF</t>
  </si>
  <si>
    <t>C2, C6</t>
  </si>
  <si>
    <t>CAP CER 0.1UF 50V X7R 0402</t>
  </si>
  <si>
    <t>GRM155R71H104ME14D</t>
  </si>
  <si>
    <t>Murata</t>
  </si>
  <si>
    <t>0.1uF</t>
  </si>
  <si>
    <t>C3</t>
  </si>
  <si>
    <t>CAP CER 10000PF 50V X7R 0402</t>
  </si>
  <si>
    <t>CC0402KRX7R9BB103</t>
  </si>
  <si>
    <t>10nF</t>
  </si>
  <si>
    <t>Diode</t>
  </si>
  <si>
    <t>D1, D2</t>
  </si>
  <si>
    <t>100V -55℃~+150℃@(Tj) 400mW Single 1.25V@150mA 4ns 1μA@75V 200mA SOD-323 Switching Diode ROHS</t>
  </si>
  <si>
    <t>SOD-323</t>
  </si>
  <si>
    <t>1N4148WS</t>
  </si>
  <si>
    <t>YFW</t>
  </si>
  <si>
    <t>LED</t>
  </si>
  <si>
    <t>LED1</t>
  </si>
  <si>
    <t>0603(H=0.4mm) λD=600.5~612.5nm VR=5V VF=1.7V~2.2V IF=25mA PD=60mW</t>
  </si>
  <si>
    <t>LED-0603</t>
  </si>
  <si>
    <t>19-217/S2C-AQ1R1B/3T</t>
  </si>
  <si>
    <t>Everlight</t>
  </si>
  <si>
    <t>Orange</t>
  </si>
  <si>
    <t>Connector</t>
  </si>
  <si>
    <t>P1</t>
  </si>
  <si>
    <t>Sensor Connecting Pads</t>
  </si>
  <si>
    <t>sEMG-sensor</t>
  </si>
  <si>
    <t>DNP</t>
  </si>
  <si>
    <t>-</t>
  </si>
  <si>
    <t>SEMG Sensor</t>
  </si>
  <si>
    <t>TEST POINT</t>
  </si>
  <si>
    <t>P3, P4, P5, P6, P7, P8, P9, P10, P11, P12, P13, P14, P15, P16</t>
  </si>
  <si>
    <t>Test Point ON</t>
  </si>
  <si>
    <t>Test-point</t>
  </si>
  <si>
    <t>Test Point</t>
  </si>
  <si>
    <t>Resistor</t>
  </si>
  <si>
    <t>R1</t>
  </si>
  <si>
    <t>RES 240 OHM 1% 1/16W 0402</t>
  </si>
  <si>
    <t>Res-0402</t>
  </si>
  <si>
    <t>RC0402FR-07240RL</t>
  </si>
  <si>
    <t>240R</t>
  </si>
  <si>
    <t>R2, R3, R4, R5, R6</t>
  </si>
  <si>
    <t>RES SMD 0402 150kOhm 5% Paper T/R</t>
  </si>
  <si>
    <t>RC0402JR-07150KL</t>
  </si>
  <si>
    <t>150K</t>
  </si>
  <si>
    <t>R7, R8</t>
  </si>
  <si>
    <t>1/16W 50V ±1% ±200ppm/℃ -55℃~+155℃ 80.6kΩ 0402 Chip Resistor - Surface Mount ROHS</t>
  </si>
  <si>
    <t>Res0402</t>
  </si>
  <si>
    <t>RC-02W8062FT</t>
  </si>
  <si>
    <t>FH</t>
  </si>
  <si>
    <t>80.6K</t>
  </si>
  <si>
    <t>Trimmer</t>
  </si>
  <si>
    <t>R9</t>
  </si>
  <si>
    <t>TRIMMER 100K OHM 0.1W J LEAD TOP</t>
  </si>
  <si>
    <t>TC33X-2-104E_</t>
  </si>
  <si>
    <t>TC33X-2-104E</t>
  </si>
  <si>
    <t>Bourns</t>
  </si>
  <si>
    <t>100K</t>
  </si>
  <si>
    <t>R10, R11</t>
  </si>
  <si>
    <t>RES 1K OHM 5% 1/16W 0402</t>
  </si>
  <si>
    <t>RC0402JR-071KL</t>
  </si>
  <si>
    <t>1K</t>
  </si>
  <si>
    <t>Solder Bridges</t>
  </si>
  <si>
    <t>SB1, SB2, SB3, SB4, SB5, SB6, SB7, SB8</t>
  </si>
  <si>
    <t>Solder Bridge ON</t>
  </si>
  <si>
    <t>Solder Bridge 0402</t>
  </si>
  <si>
    <t>IC</t>
  </si>
  <si>
    <t>U1</t>
  </si>
  <si>
    <t>IC OPAMP INSTR 825KHZ 8SOIC</t>
  </si>
  <si>
    <t>SOIC-8</t>
  </si>
  <si>
    <t>AD8221ARZ-R7</t>
  </si>
  <si>
    <t>Analog Devices</t>
  </si>
  <si>
    <t>U2</t>
  </si>
  <si>
    <t>IC OPAMP JFET 4 CIRCUIT 14TSSOP</t>
  </si>
  <si>
    <t>14-TSSOP</t>
  </si>
  <si>
    <t>TL084CPWR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</si>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</sst>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7"/>
  <sheetViews>
    <sheetView tabSelected="1" workbookViewId="0">
      <selection activeCell="H16" sqref="H1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5"/>
      <c r="J1" s="15"/>
      <c r="K1" s="15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3</v>
      </c>
      <c r="K3" s="9"/>
    </row>
    <row r="4" ht="15.75" spans="1:11">
      <c r="A4" s="2"/>
      <c r="B4" s="7">
        <f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20</v>
      </c>
      <c r="I4" s="13" t="s">
        <v>21</v>
      </c>
      <c r="J4" s="12">
        <v>2</v>
      </c>
      <c r="K4" s="12"/>
    </row>
    <row r="5" ht="15.75" spans="1:11">
      <c r="A5" s="2"/>
      <c r="B5" s="7">
        <f>ROW(B5)-ROW($B$2)</f>
        <v>3</v>
      </c>
      <c r="C5" s="8" t="s">
        <v>10</v>
      </c>
      <c r="D5" s="9" t="s">
        <v>22</v>
      </c>
      <c r="E5" s="10" t="s">
        <v>23</v>
      </c>
      <c r="F5" s="9" t="s">
        <v>13</v>
      </c>
      <c r="G5" s="10" t="s">
        <v>24</v>
      </c>
      <c r="H5" s="9" t="s">
        <v>15</v>
      </c>
      <c r="I5" s="10" t="s">
        <v>25</v>
      </c>
      <c r="J5" s="9">
        <v>1</v>
      </c>
      <c r="K5" s="9"/>
    </row>
    <row r="6" ht="36.75" spans="1:11">
      <c r="A6" s="2"/>
      <c r="B6" s="7">
        <f>ROW(B6)-ROW($B$2)</f>
        <v>4</v>
      </c>
      <c r="C6" s="11" t="s">
        <v>26</v>
      </c>
      <c r="D6" s="12" t="s">
        <v>27</v>
      </c>
      <c r="E6" s="13" t="s">
        <v>28</v>
      </c>
      <c r="F6" s="12" t="s">
        <v>29</v>
      </c>
      <c r="G6" s="13" t="s">
        <v>30</v>
      </c>
      <c r="H6" s="12" t="s">
        <v>31</v>
      </c>
      <c r="I6" s="13" t="s">
        <v>30</v>
      </c>
      <c r="J6" s="12">
        <v>2</v>
      </c>
      <c r="K6" s="12"/>
    </row>
    <row r="7" ht="36.75" spans="1:11">
      <c r="A7" s="2"/>
      <c r="B7" s="7">
        <f>ROW(B7)-ROW($B$2)</f>
        <v>5</v>
      </c>
      <c r="C7" s="8" t="s">
        <v>32</v>
      </c>
      <c r="D7" s="9" t="s">
        <v>33</v>
      </c>
      <c r="E7" s="10" t="s">
        <v>34</v>
      </c>
      <c r="F7" s="9" t="s">
        <v>35</v>
      </c>
      <c r="G7" s="10" t="s">
        <v>36</v>
      </c>
      <c r="H7" s="9" t="s">
        <v>37</v>
      </c>
      <c r="I7" s="10" t="s">
        <v>38</v>
      </c>
      <c r="J7" s="9">
        <v>1</v>
      </c>
      <c r="K7" s="9"/>
    </row>
    <row r="8" ht="15.75" spans="1:11">
      <c r="A8" s="2"/>
      <c r="B8" s="7">
        <f>ROW(B8)-ROW($B$2)</f>
        <v>6</v>
      </c>
      <c r="C8" s="11" t="s">
        <v>39</v>
      </c>
      <c r="D8" s="12" t="s">
        <v>40</v>
      </c>
      <c r="E8" s="13" t="s">
        <v>41</v>
      </c>
      <c r="F8" s="12" t="s">
        <v>42</v>
      </c>
      <c r="G8" s="14" t="s">
        <v>43</v>
      </c>
      <c r="H8" s="12" t="s">
        <v>44</v>
      </c>
      <c r="I8" s="13" t="s">
        <v>45</v>
      </c>
      <c r="J8" s="12">
        <v>1</v>
      </c>
      <c r="K8" s="12"/>
    </row>
    <row r="9" ht="24.75" spans="1:11">
      <c r="A9" s="2"/>
      <c r="B9" s="7">
        <f>ROW(B9)-ROW($B$2)</f>
        <v>7</v>
      </c>
      <c r="C9" s="8" t="s">
        <v>46</v>
      </c>
      <c r="D9" s="9" t="s">
        <v>47</v>
      </c>
      <c r="E9" s="10" t="s">
        <v>48</v>
      </c>
      <c r="F9" s="9" t="s">
        <v>49</v>
      </c>
      <c r="G9" s="14" t="s">
        <v>43</v>
      </c>
      <c r="H9" s="9" t="s">
        <v>44</v>
      </c>
      <c r="I9" s="10" t="s">
        <v>50</v>
      </c>
      <c r="J9" s="9">
        <v>14</v>
      </c>
      <c r="K9" s="9"/>
    </row>
    <row r="10" ht="15.75" spans="1:11">
      <c r="A10" s="2"/>
      <c r="B10" s="7">
        <f>ROW(B10)-ROW($B$2)</f>
        <v>8</v>
      </c>
      <c r="C10" s="11" t="s">
        <v>51</v>
      </c>
      <c r="D10" s="12" t="s">
        <v>52</v>
      </c>
      <c r="E10" s="13" t="s">
        <v>53</v>
      </c>
      <c r="F10" s="12" t="s">
        <v>54</v>
      </c>
      <c r="G10" s="13" t="s">
        <v>55</v>
      </c>
      <c r="H10" s="12" t="s">
        <v>15</v>
      </c>
      <c r="I10" s="13" t="s">
        <v>56</v>
      </c>
      <c r="J10" s="12">
        <v>1</v>
      </c>
      <c r="K10" s="12"/>
    </row>
    <row r="11" ht="15.75" spans="1:11">
      <c r="A11" s="2"/>
      <c r="B11" s="7">
        <f>ROW(B11)-ROW($B$2)</f>
        <v>9</v>
      </c>
      <c r="C11" s="8" t="s">
        <v>51</v>
      </c>
      <c r="D11" s="9" t="s">
        <v>57</v>
      </c>
      <c r="E11" s="10" t="s">
        <v>58</v>
      </c>
      <c r="F11" s="9" t="s">
        <v>54</v>
      </c>
      <c r="G11" s="10" t="s">
        <v>59</v>
      </c>
      <c r="H11" s="9" t="s">
        <v>15</v>
      </c>
      <c r="I11" s="10" t="s">
        <v>60</v>
      </c>
      <c r="J11" s="9">
        <v>5</v>
      </c>
      <c r="K11" s="9"/>
    </row>
    <row r="12" ht="36.75" spans="1:11">
      <c r="A12" s="2"/>
      <c r="B12" s="7">
        <f>ROW(B12)-ROW($B$2)</f>
        <v>10</v>
      </c>
      <c r="C12" s="11" t="s">
        <v>51</v>
      </c>
      <c r="D12" s="12" t="s">
        <v>61</v>
      </c>
      <c r="E12" s="13" t="s">
        <v>62</v>
      </c>
      <c r="F12" s="12" t="s">
        <v>63</v>
      </c>
      <c r="G12" s="13" t="s">
        <v>64</v>
      </c>
      <c r="H12" s="12" t="s">
        <v>65</v>
      </c>
      <c r="I12" s="13" t="s">
        <v>66</v>
      </c>
      <c r="J12" s="12">
        <v>2</v>
      </c>
      <c r="K12" s="12"/>
    </row>
    <row r="13" ht="15.75" spans="1:11">
      <c r="A13" s="2"/>
      <c r="B13" s="7">
        <f>ROW(B13)-ROW($B$2)</f>
        <v>11</v>
      </c>
      <c r="C13" s="8" t="s">
        <v>67</v>
      </c>
      <c r="D13" s="9" t="s">
        <v>68</v>
      </c>
      <c r="E13" s="10" t="s">
        <v>69</v>
      </c>
      <c r="F13" s="9" t="s">
        <v>70</v>
      </c>
      <c r="G13" s="10" t="s">
        <v>71</v>
      </c>
      <c r="H13" s="9" t="s">
        <v>72</v>
      </c>
      <c r="I13" s="10" t="s">
        <v>73</v>
      </c>
      <c r="J13" s="9">
        <v>1</v>
      </c>
      <c r="K13" s="9"/>
    </row>
    <row r="14" ht="15.75" spans="1:11">
      <c r="A14" s="2"/>
      <c r="B14" s="7">
        <f>ROW(B14)-ROW($B$2)</f>
        <v>12</v>
      </c>
      <c r="C14" s="11" t="s">
        <v>51</v>
      </c>
      <c r="D14" s="12" t="s">
        <v>74</v>
      </c>
      <c r="E14" s="13" t="s">
        <v>75</v>
      </c>
      <c r="F14" s="12" t="s">
        <v>54</v>
      </c>
      <c r="G14" s="13" t="s">
        <v>76</v>
      </c>
      <c r="H14" s="12" t="s">
        <v>15</v>
      </c>
      <c r="I14" s="13" t="s">
        <v>77</v>
      </c>
      <c r="J14" s="12">
        <v>2</v>
      </c>
      <c r="K14" s="12"/>
    </row>
    <row r="15" ht="15.75" spans="1:11">
      <c r="A15" s="2"/>
      <c r="B15" s="7">
        <f>ROW(B15)-ROW($B$2)</f>
        <v>13</v>
      </c>
      <c r="C15" s="8" t="s">
        <v>78</v>
      </c>
      <c r="D15" s="9" t="s">
        <v>79</v>
      </c>
      <c r="E15" s="10" t="s">
        <v>80</v>
      </c>
      <c r="F15" s="9" t="s">
        <v>81</v>
      </c>
      <c r="G15" s="14" t="s">
        <v>43</v>
      </c>
      <c r="H15" s="9" t="s">
        <v>44</v>
      </c>
      <c r="I15" s="10" t="s">
        <v>81</v>
      </c>
      <c r="J15" s="9">
        <v>8</v>
      </c>
      <c r="K15" s="9"/>
    </row>
    <row r="16" ht="15.75" spans="1:11">
      <c r="A16" s="2"/>
      <c r="B16" s="7">
        <f>ROW(B16)-ROW($B$2)</f>
        <v>14</v>
      </c>
      <c r="C16" s="11" t="s">
        <v>82</v>
      </c>
      <c r="D16" s="12" t="s">
        <v>83</v>
      </c>
      <c r="E16" s="13" t="s">
        <v>84</v>
      </c>
      <c r="F16" s="12" t="s">
        <v>85</v>
      </c>
      <c r="G16" s="13" t="s">
        <v>86</v>
      </c>
      <c r="H16" s="12" t="s">
        <v>87</v>
      </c>
      <c r="I16" s="13" t="s">
        <v>86</v>
      </c>
      <c r="J16" s="12">
        <v>1</v>
      </c>
      <c r="K16" s="12"/>
    </row>
    <row r="17" spans="1:11">
      <c r="A17" s="2"/>
      <c r="B17" s="7">
        <f>ROW(B17)-ROW($B$2)</f>
        <v>15</v>
      </c>
      <c r="C17" s="8" t="s">
        <v>82</v>
      </c>
      <c r="D17" s="9" t="s">
        <v>88</v>
      </c>
      <c r="E17" s="10" t="s">
        <v>89</v>
      </c>
      <c r="F17" s="9" t="s">
        <v>90</v>
      </c>
      <c r="G17" s="10" t="s">
        <v>91</v>
      </c>
      <c r="H17" s="9" t="s">
        <v>92</v>
      </c>
      <c r="I17" s="10" t="s">
        <v>91</v>
      </c>
      <c r="J17" s="9">
        <v>1</v>
      </c>
      <c r="K17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2024-04-19T11:18:51Z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B663FCD7B58B49448DA537402D597300_13</vt:lpwstr>
  </property>
  <property fmtid="{D5CDD505-2E9C-101B-9397-08002B2CF9AE}" pid="3" name="KSOProductBuildVer">
    <vt:lpwstr>1033-12.2.0.16731</vt:lpwstr>
  </property>
</Properties>
</file>