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-ELEC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<sst xmlns="http://schemas.openxmlformats.org/spreadsheetml/2006/main" count="129" uniqueCount="94">
  <si>
    <t>#</t>
  </si>
  <si>
    <t>Item Type</t>
  </si>
  <si>
    <t>Capacitor</t>
  </si>
  <si>
    <t>FFC, FPC Connector</t>
  </si>
  <si>
    <t>LED</t>
  </si>
  <si>
    <t>Resistor</t>
  </si>
  <si>
    <t>Switch</t>
  </si>
  <si>
    <t>IC</t>
  </si>
  <si>
    <t>Designator</t>
  </si>
  <si>
    <t>C1, C2, C11, C12, C16, C17, C21, C22, C26, C27, C31, C32, C36, C37, C41, C42</t>
  </si>
  <si>
    <t>C3, C4, C5, C6, C7, C10, C13, C14, C15, C18, C19, C20, C23, C24, C25, C28, C29, C30, C33, C34, C35, C38, C39, C40, C43, C44, C45</t>
  </si>
  <si>
    <t>C8, C9</t>
  </si>
  <si>
    <t>J2, J6, J9, J12, J18, J21, J24</t>
  </si>
  <si>
    <t>J4</t>
  </si>
  <si>
    <t>J15</t>
  </si>
  <si>
    <t>LED1, LED2, LED3, LED4, LED5, LED6, LED7, LED8</t>
  </si>
  <si>
    <t>R1, R9, R13, R17, R21, R25, R29, R33</t>
  </si>
  <si>
    <t>R2, R10, R14, R18, R22, R26, R30, R34</t>
  </si>
  <si>
    <t>R3, R4, R11, R12, R15, R16, R19, R20, R23, R24, R27, R28, R31, R32, R35, R36</t>
  </si>
  <si>
    <t>R5, R6</t>
  </si>
  <si>
    <t>R7, R8</t>
  </si>
  <si>
    <t>SW1, SW2</t>
  </si>
  <si>
    <t>U1, U7, U9, U11, U13, U15, U17, U19</t>
  </si>
  <si>
    <t>U2, U3, U8, U10, U12, U14, U16, U18, U20</t>
  </si>
  <si>
    <t>U4</t>
  </si>
  <si>
    <t>U5, U6</t>
  </si>
  <si>
    <t>Description</t>
  </si>
  <si>
    <t>CAP CER 1UF 16V X5R 0402</t>
  </si>
  <si>
    <t>CAP CER 10UF 25V X5R 0603</t>
  </si>
  <si>
    <t>CAP CER 0.1UF 50V X7R 0402</t>
  </si>
  <si>
    <t>Sensor Connecting Pads</t>
  </si>
  <si>
    <t>-40℃~+80℃ 15P Dual-sided contacts / top and bottom connection 0.5mm SMD,P=0.5mm,Surface Mount，Right Angle FFC, FPC (Flat Flexible) Connector Assemblies ROHS</t>
  </si>
  <si>
    <t>0603(H=0.4mm) λD=600.5~612.5nm VR=5V VF=1.7V~2.2V IF=25mA PD=60mW</t>
  </si>
  <si>
    <t>RES 240 OHM 1% 1/16W 0402</t>
  </si>
  <si>
    <t>RES 1K OHM 5% 1/16W 0402</t>
  </si>
  <si>
    <t>RES SMD 0402 150kOhm 5% Paper T/R</t>
  </si>
  <si>
    <t>1/10W Thin Film Resistor 75V ±0.5% ±25ppm/℃ -55℃~+155℃ 64kΩ 0603 Chip Resistor - Surface Mount ROHS</t>
  </si>
  <si>
    <t>RES 10K OHM 1% 1/16W 0402</t>
  </si>
  <si>
    <t>No Gull Wing 50mA 100MΩ 80000 260gf@±50gf 12V -25℃~+85℃ 1.7mm Golden Round Button Brick nogging SPST SMD Tactile Switches ROHS</t>
  </si>
  <si>
    <t>IC OPAMP INSTR 825KHZ 8SOIC</t>
  </si>
  <si>
    <t>NO Charge pump 1 -5.5V~-1.4V 1.4V~5.5V 60mA 19kHz SOT-23-5 DC-DC Converters ROHS</t>
  </si>
  <si>
    <t>SOT-23-5 Operational Amplifier ROHS</t>
  </si>
  <si>
    <t>IC OPAMP GP 1.3MHZ 14SO</t>
  </si>
  <si>
    <t>Footprint</t>
  </si>
  <si>
    <t>Cap-0402</t>
  </si>
  <si>
    <t>Cap-0603</t>
  </si>
  <si>
    <t>8.01A0.015200</t>
  </si>
  <si>
    <t>LED-0603</t>
  </si>
  <si>
    <t>Res-0402</t>
  </si>
  <si>
    <t>Res-0603</t>
  </si>
  <si>
    <t>SOIC-8</t>
  </si>
  <si>
    <t>SOT-23-5</t>
  </si>
  <si>
    <t>14-SO</t>
  </si>
  <si>
    <t>Manufacturer Part Number</t>
  </si>
  <si>
    <t>CC0402KRX5R7BB105</t>
  </si>
  <si>
    <t>CL10A106MA8NRNC</t>
  </si>
  <si>
    <t>GRM155R71H104ME14D</t>
  </si>
  <si>
    <t>19-217/S2C-AQ1R1B/3T</t>
  </si>
  <si>
    <t>RC0402FR-07240RL</t>
  </si>
  <si>
    <t>RC0402JR-071KL</t>
  </si>
  <si>
    <t>RC0402JR-07150KL</t>
  </si>
  <si>
    <t>ARG03DTC6402N</t>
  </si>
  <si>
    <t>RC0402FR-0710KL</t>
  </si>
  <si>
    <t>TC-0522C-1.7-260G</t>
  </si>
  <si>
    <t>AD8221ARZ-R7</t>
  </si>
  <si>
    <t>SGM3207YN5G/TR</t>
  </si>
  <si>
    <t>TPMCP6021T-E/OT</t>
  </si>
  <si>
    <t>LM324DT</t>
  </si>
  <si>
    <t>Manufacturer</t>
  </si>
  <si>
    <t>Yageo</t>
  </si>
  <si>
    <t>Samsung</t>
  </si>
  <si>
    <t>Murata</t>
  </si>
  <si>
    <t>DIANWEI</t>
  </si>
  <si>
    <t>Everlight</t>
  </si>
  <si>
    <t>iking Tech</t>
  </si>
  <si>
    <t>HCTL</t>
  </si>
  <si>
    <t>Analog Devices</t>
  </si>
  <si>
    <t>SG Micro</t>
  </si>
  <si>
    <t>TECH PUBLIC</t>
  </si>
  <si>
    <t>STMicroelectronics</t>
  </si>
  <si>
    <t>1uF</t>
  </si>
  <si>
    <t>10uF</t>
  </si>
  <si>
    <t>0.1uF</t>
  </si>
  <si>
    <t>240R</t>
  </si>
  <si>
    <t>1K</t>
  </si>
  <si>
    <t>150K</t>
  </si>
  <si>
    <t>64K</t>
  </si>
  <si>
    <t>10K</t>
  </si>
  <si>
    <t>Quantity</t>
  </si>
  <si>
    <t>-</t>
  </si>
  <si>
    <t>Value</t>
  </si>
  <si>
    <t>Remarks</t>
  </si>
  <si>
    <t>Electrode Pad</t>
  </si>
  <si>
    <t xml:space="preserve">Custom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</si>
</sst>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"/>
  <sheetViews>
    <sheetView tabSelected="1" workbookViewId="0">
      <selection activeCell="N17" sqref="N1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26</v>
      </c>
      <c r="F2" s="5" t="s">
        <v>43</v>
      </c>
      <c r="G2" s="6" t="s">
        <v>53</v>
      </c>
      <c r="H2" s="5" t="s">
        <v>68</v>
      </c>
      <c r="I2" s="6" t="s">
        <v>90</v>
      </c>
      <c r="J2" s="5" t="s">
        <v>88</v>
      </c>
      <c r="K2" s="5" t="s">
        <v>91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27</v>
      </c>
      <c r="F3" s="7" t="s">
        <v>44</v>
      </c>
      <c r="G3" s="8" t="s">
        <v>54</v>
      </c>
      <c r="H3" s="7" t="s">
        <v>69</v>
      </c>
      <c r="I3" s="8" t="s">
        <v>80</v>
      </c>
      <c r="J3" s="7">
        <v>16</v>
      </c>
      <c r="K3" s="7"/>
    </row>
    <row r="4" spans="1:11" ht="36.75" thickBot="1" x14ac:dyDescent="0.3">
      <c r="A4" s="1"/>
      <c r="B4" s="11">
        <f t="shared" ref="B4:B18" si="0">ROW(B4) - ROW($B$2)</f>
        <v>2</v>
      </c>
      <c r="C4" s="12" t="s">
        <v>2</v>
      </c>
      <c r="D4" s="9" t="s">
        <v>10</v>
      </c>
      <c r="E4" s="10" t="s">
        <v>28</v>
      </c>
      <c r="F4" s="9" t="s">
        <v>45</v>
      </c>
      <c r="G4" s="10" t="s">
        <v>55</v>
      </c>
      <c r="H4" s="9" t="s">
        <v>70</v>
      </c>
      <c r="I4" s="10" t="s">
        <v>81</v>
      </c>
      <c r="J4" s="9">
        <v>27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11</v>
      </c>
      <c r="E5" s="8" t="s">
        <v>29</v>
      </c>
      <c r="F5" s="7" t="s">
        <v>44</v>
      </c>
      <c r="G5" s="8" t="s">
        <v>56</v>
      </c>
      <c r="H5" s="7" t="s">
        <v>71</v>
      </c>
      <c r="I5" s="8" t="s">
        <v>82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12</v>
      </c>
      <c r="E6" s="10" t="s">
        <v>30</v>
      </c>
      <c r="F6" s="9" t="s">
        <v>93</v>
      </c>
      <c r="G6" s="10" t="s">
        <v>89</v>
      </c>
      <c r="H6" s="9" t="s">
        <v>89</v>
      </c>
      <c r="I6" s="10" t="s">
        <v>89</v>
      </c>
      <c r="J6" s="9">
        <v>7</v>
      </c>
      <c r="K6" s="9"/>
    </row>
    <row r="7" spans="1:11" ht="60.75" thickBot="1" x14ac:dyDescent="0.3">
      <c r="A7" s="1"/>
      <c r="B7" s="11">
        <f>ROW(B7) - ROW($B$2)</f>
        <v>5</v>
      </c>
      <c r="C7" s="12" t="s">
        <v>3</v>
      </c>
      <c r="D7" s="7" t="s">
        <v>13</v>
      </c>
      <c r="E7" s="8" t="s">
        <v>31</v>
      </c>
      <c r="F7" s="9" t="s">
        <v>93</v>
      </c>
      <c r="G7" s="8" t="s">
        <v>46</v>
      </c>
      <c r="H7" s="7" t="s">
        <v>72</v>
      </c>
      <c r="I7" s="8" t="s">
        <v>89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92</v>
      </c>
      <c r="D8" s="9" t="s">
        <v>14</v>
      </c>
      <c r="E8" s="10" t="s">
        <v>30</v>
      </c>
      <c r="F8" s="9" t="s">
        <v>93</v>
      </c>
      <c r="G8" s="10" t="s">
        <v>89</v>
      </c>
      <c r="H8" s="9" t="s">
        <v>89</v>
      </c>
      <c r="I8" s="10" t="s">
        <v>89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4</v>
      </c>
      <c r="D9" s="7" t="s">
        <v>15</v>
      </c>
      <c r="E9" s="8" t="s">
        <v>32</v>
      </c>
      <c r="F9" s="7" t="s">
        <v>47</v>
      </c>
      <c r="G9" s="8" t="s">
        <v>57</v>
      </c>
      <c r="H9" s="7" t="s">
        <v>73</v>
      </c>
      <c r="I9" s="8" t="s">
        <v>89</v>
      </c>
      <c r="J9" s="7">
        <v>8</v>
      </c>
      <c r="K9" s="7"/>
    </row>
    <row r="10" spans="1:11" ht="15.75" thickBot="1" x14ac:dyDescent="0.3">
      <c r="A10" s="1"/>
      <c r="B10" s="11">
        <f t="shared" si="0"/>
        <v>8</v>
      </c>
      <c r="C10" s="12" t="s">
        <v>5</v>
      </c>
      <c r="D10" s="9" t="s">
        <v>16</v>
      </c>
      <c r="E10" s="10" t="s">
        <v>33</v>
      </c>
      <c r="F10" s="9" t="s">
        <v>48</v>
      </c>
      <c r="G10" s="10" t="s">
        <v>58</v>
      </c>
      <c r="H10" s="9" t="s">
        <v>69</v>
      </c>
      <c r="I10" s="10" t="s">
        <v>83</v>
      </c>
      <c r="J10" s="9">
        <v>8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17</v>
      </c>
      <c r="E11" s="8" t="s">
        <v>34</v>
      </c>
      <c r="F11" s="7" t="s">
        <v>48</v>
      </c>
      <c r="G11" s="8" t="s">
        <v>59</v>
      </c>
      <c r="H11" s="7" t="s">
        <v>69</v>
      </c>
      <c r="I11" s="8" t="s">
        <v>84</v>
      </c>
      <c r="J11" s="7">
        <v>8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5</v>
      </c>
      <c r="D12" s="9" t="s">
        <v>18</v>
      </c>
      <c r="E12" s="10" t="s">
        <v>35</v>
      </c>
      <c r="F12" s="9" t="s">
        <v>48</v>
      </c>
      <c r="G12" s="10" t="s">
        <v>60</v>
      </c>
      <c r="H12" s="9" t="s">
        <v>69</v>
      </c>
      <c r="I12" s="10" t="s">
        <v>85</v>
      </c>
      <c r="J12" s="9">
        <v>16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5</v>
      </c>
      <c r="D13" s="7" t="s">
        <v>19</v>
      </c>
      <c r="E13" s="8" t="s">
        <v>36</v>
      </c>
      <c r="F13" s="7" t="s">
        <v>49</v>
      </c>
      <c r="G13" s="8" t="s">
        <v>61</v>
      </c>
      <c r="H13" s="7" t="s">
        <v>74</v>
      </c>
      <c r="I13" s="8" t="s">
        <v>86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5</v>
      </c>
      <c r="D14" s="9" t="s">
        <v>20</v>
      </c>
      <c r="E14" s="10" t="s">
        <v>37</v>
      </c>
      <c r="F14" s="9" t="s">
        <v>48</v>
      </c>
      <c r="G14" s="10" t="s">
        <v>62</v>
      </c>
      <c r="H14" s="9" t="s">
        <v>69</v>
      </c>
      <c r="I14" s="10" t="s">
        <v>87</v>
      </c>
      <c r="J14" s="9">
        <v>2</v>
      </c>
      <c r="K14" s="9"/>
    </row>
    <row r="15" spans="1:11" ht="48.75" thickBot="1" x14ac:dyDescent="0.3">
      <c r="A15" s="1"/>
      <c r="B15" s="11">
        <f>ROW(B15) - ROW($B$2)</f>
        <v>13</v>
      </c>
      <c r="C15" s="12" t="s">
        <v>6</v>
      </c>
      <c r="D15" s="7" t="s">
        <v>21</v>
      </c>
      <c r="E15" s="8" t="s">
        <v>38</v>
      </c>
      <c r="F15" s="9" t="s">
        <v>93</v>
      </c>
      <c r="G15" s="8" t="s">
        <v>63</v>
      </c>
      <c r="H15" s="7" t="s">
        <v>75</v>
      </c>
      <c r="I15" s="8" t="s">
        <v>89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22</v>
      </c>
      <c r="E16" s="10" t="s">
        <v>39</v>
      </c>
      <c r="F16" s="9" t="s">
        <v>50</v>
      </c>
      <c r="G16" s="10" t="s">
        <v>64</v>
      </c>
      <c r="H16" s="9" t="s">
        <v>76</v>
      </c>
      <c r="I16" s="8" t="s">
        <v>89</v>
      </c>
      <c r="J16" s="9">
        <v>8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7</v>
      </c>
      <c r="D17" s="7" t="s">
        <v>23</v>
      </c>
      <c r="E17" s="8" t="s">
        <v>40</v>
      </c>
      <c r="F17" s="7" t="s">
        <v>51</v>
      </c>
      <c r="G17" s="8" t="s">
        <v>65</v>
      </c>
      <c r="H17" s="7" t="s">
        <v>77</v>
      </c>
      <c r="I17" s="8" t="s">
        <v>89</v>
      </c>
      <c r="J17" s="7">
        <v>9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7</v>
      </c>
      <c r="D18" s="9" t="s">
        <v>24</v>
      </c>
      <c r="E18" s="10" t="s">
        <v>41</v>
      </c>
      <c r="F18" s="9" t="s">
        <v>51</v>
      </c>
      <c r="G18" s="10" t="s">
        <v>66</v>
      </c>
      <c r="H18" s="9" t="s">
        <v>78</v>
      </c>
      <c r="I18" s="8" t="s">
        <v>89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7</v>
      </c>
      <c r="D19" s="7" t="s">
        <v>25</v>
      </c>
      <c r="E19" s="8" t="s">
        <v>42</v>
      </c>
      <c r="F19" s="7" t="s">
        <v>52</v>
      </c>
      <c r="G19" s="8" t="s">
        <v>67</v>
      </c>
      <c r="H19" s="7" t="s">
        <v>79</v>
      </c>
      <c r="I19" s="8" t="s">
        <v>89</v>
      </c>
      <c r="J19" s="7">
        <v>2</v>
      </c>
      <c r="K1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2025-02-11T09:19:20Z</dcterms:modified>
</cp:coreProperties>
</file>