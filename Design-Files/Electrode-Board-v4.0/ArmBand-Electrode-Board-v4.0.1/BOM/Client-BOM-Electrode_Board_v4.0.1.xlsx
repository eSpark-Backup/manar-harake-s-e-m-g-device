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<sst xmlns="http://schemas.openxmlformats.org/spreadsheetml/2006/main" count="113" uniqueCount="86">
  <si>
    <t>#</t>
  </si>
  <si>
    <t>Item Type</t>
  </si>
  <si>
    <t>Capacitor</t>
  </si>
  <si>
    <t>LED</t>
  </si>
  <si>
    <t>TEST POINT</t>
  </si>
  <si>
    <t>Resistor</t>
  </si>
  <si>
    <t>Trimmer</t>
  </si>
  <si>
    <t>IC</t>
  </si>
  <si>
    <t>Designator</t>
  </si>
  <si>
    <t>C1, C4, C5</t>
  </si>
  <si>
    <t>C2, C6</t>
  </si>
  <si>
    <t>C3</t>
  </si>
  <si>
    <t>D1, D2</t>
  </si>
  <si>
    <t>LED1</t>
  </si>
  <si>
    <t>P1</t>
  </si>
  <si>
    <t>P2, P4</t>
  </si>
  <si>
    <t>R1</t>
  </si>
  <si>
    <t>R2, R3, R4, R5, R6, R12, R13</t>
  </si>
  <si>
    <t>R7, R8</t>
  </si>
  <si>
    <t>R9</t>
  </si>
  <si>
    <t>R10, R11</t>
  </si>
  <si>
    <t>SB1, SB2, SB3, SB4, SB5, SB6, SB7, SB8</t>
  </si>
  <si>
    <t>U1</t>
  </si>
  <si>
    <t>U2</t>
  </si>
  <si>
    <t>Description</t>
  </si>
  <si>
    <t>CAP CER 1UF 16V X5R 0402</t>
  </si>
  <si>
    <t>CAP CER 0.1UF 50V X7R 0402</t>
  </si>
  <si>
    <t>CAP CER 10000PF 50V X7R 0402</t>
  </si>
  <si>
    <t>100V -55℃~+150℃@(Tj) 400mW Single 1.25V@150mA 4ns 1μA@75V 200mA SOD-323 Switching Diode ROHS</t>
  </si>
  <si>
    <t>0603(H=0.4mm) λD=600.5~612.5nm VR=5V VF=1.7V~2.2V IF=25mA PD=60mW</t>
  </si>
  <si>
    <t>Sensor Connecting Pads</t>
  </si>
  <si>
    <t>Test Point ON</t>
  </si>
  <si>
    <t>RES 240 OHM 1% 1/16W 0402</t>
  </si>
  <si>
    <t>RES SMD 0402 150kOhm 5% Paper T/R</t>
  </si>
  <si>
    <t>1/16W 50V ±1% ±200ppm/℃ -55℃~+155℃ 80.6kΩ 0402 Chip Resistor - Surface Mount ROHS</t>
  </si>
  <si>
    <t>TRIMMER 100K OHM 0.1W J LEAD TOP</t>
  </si>
  <si>
    <t>RES 1K OHM 5% 1/16W 0402</t>
  </si>
  <si>
    <t>Solder Bridge ON</t>
  </si>
  <si>
    <t>IC OPAMP INSTR 825KHZ 8SOIC</t>
  </si>
  <si>
    <t>IC OPAMP JFET 4 CIRCUIT 14TSSOP</t>
  </si>
  <si>
    <t>Footprint</t>
  </si>
  <si>
    <t>Cap-0402</t>
  </si>
  <si>
    <t>SOD-323</t>
  </si>
  <si>
    <t>LED-0603</t>
  </si>
  <si>
    <t>Res-0402</t>
  </si>
  <si>
    <t>Res0402</t>
  </si>
  <si>
    <t>Solder Bridge 0402</t>
  </si>
  <si>
    <t>SOIC-8</t>
  </si>
  <si>
    <t>14-TSSOP</t>
  </si>
  <si>
    <t>Manufacturer Part Number</t>
  </si>
  <si>
    <t>CC0402KRX5R7BB105</t>
  </si>
  <si>
    <t>GRM155R71H104ME14D</t>
  </si>
  <si>
    <t>CC0402KRX7R9BB103</t>
  </si>
  <si>
    <t>1N4148WS</t>
  </si>
  <si>
    <t>19-217/S2C-AQ1R1B/3T</t>
  </si>
  <si>
    <t>RC0402FR-07240RL</t>
  </si>
  <si>
    <t>RC0402JR-07150KL</t>
  </si>
  <si>
    <t>TC33X-2-104E</t>
  </si>
  <si>
    <t>RC0402JR-071KL</t>
  </si>
  <si>
    <t>AD8221ARZ-R7</t>
  </si>
  <si>
    <t>TL084CPWR</t>
  </si>
  <si>
    <t>Manufacturer</t>
  </si>
  <si>
    <t>Yageo</t>
  </si>
  <si>
    <t>Murata</t>
  </si>
  <si>
    <t>YFW</t>
  </si>
  <si>
    <t>Everlight</t>
  </si>
  <si>
    <t>FH</t>
  </si>
  <si>
    <t>Bourns</t>
  </si>
  <si>
    <t>Analog Devices</t>
  </si>
  <si>
    <t>Texas Instruments</t>
  </si>
  <si>
    <t>1uF</t>
  </si>
  <si>
    <t>0.1uF</t>
  </si>
  <si>
    <t>10nF</t>
  </si>
  <si>
    <t>Test Point</t>
  </si>
  <si>
    <t>240R</t>
  </si>
  <si>
    <t>150K</t>
  </si>
  <si>
    <t>80.6K</t>
  </si>
  <si>
    <t>1K</t>
  </si>
  <si>
    <t>Quantity</t>
  </si>
  <si>
    <t>Diode</t>
  </si>
  <si>
    <t>Electrode Pad</t>
  </si>
  <si>
    <t>Solder Bridge</t>
  </si>
  <si>
    <t>Custom</t>
  </si>
  <si>
    <t>-</t>
  </si>
  <si>
    <t>Value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</si>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</sst>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7"/>
  <sheetViews>
    <sheetView tabSelected="1" workbookViewId="0">
      <selection activeCell="P10" sqref="P1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9.28515625" bestFit="1" customWidth="1"/>
    <col min="7" max="7" width="25.28515625" bestFit="1" customWidth="1"/>
    <col min="8" max="8" width="15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8</v>
      </c>
      <c r="E2" s="6" t="s">
        <v>24</v>
      </c>
      <c r="F2" s="5" t="s">
        <v>40</v>
      </c>
      <c r="G2" s="6" t="s">
        <v>49</v>
      </c>
      <c r="H2" s="5" t="s">
        <v>61</v>
      </c>
      <c r="I2" s="6" t="s">
        <v>84</v>
      </c>
      <c r="J2" s="5" t="s">
        <v>78</v>
      </c>
      <c r="K2" s="5" t="s">
        <v>85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9</v>
      </c>
      <c r="E3" s="8" t="s">
        <v>25</v>
      </c>
      <c r="F3" s="7" t="s">
        <v>41</v>
      </c>
      <c r="G3" s="8" t="s">
        <v>50</v>
      </c>
      <c r="H3" s="7" t="s">
        <v>62</v>
      </c>
      <c r="I3" s="8" t="s">
        <v>70</v>
      </c>
      <c r="J3" s="7">
        <v>3</v>
      </c>
      <c r="K3" s="7"/>
    </row>
    <row r="4" spans="1:11" ht="15.75" thickBot="1" x14ac:dyDescent="0.3">
      <c r="A4" s="1"/>
      <c r="B4" s="11">
        <f t="shared" ref="B4:B16" si="0">ROW(B4) - ROW($B$2)</f>
        <v>2</v>
      </c>
      <c r="C4" s="13" t="s">
        <v>2</v>
      </c>
      <c r="D4" s="9" t="s">
        <v>10</v>
      </c>
      <c r="E4" s="10" t="s">
        <v>26</v>
      </c>
      <c r="F4" s="9" t="s">
        <v>41</v>
      </c>
      <c r="G4" s="10" t="s">
        <v>51</v>
      </c>
      <c r="H4" s="9" t="s">
        <v>63</v>
      </c>
      <c r="I4" s="10" t="s">
        <v>71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11</v>
      </c>
      <c r="E5" s="8" t="s">
        <v>27</v>
      </c>
      <c r="F5" s="7" t="s">
        <v>41</v>
      </c>
      <c r="G5" s="8" t="s">
        <v>52</v>
      </c>
      <c r="H5" s="7" t="s">
        <v>62</v>
      </c>
      <c r="I5" s="8" t="s">
        <v>72</v>
      </c>
      <c r="J5" s="7">
        <v>1</v>
      </c>
      <c r="K5" s="7"/>
    </row>
    <row r="6" spans="1:11" ht="48.75" thickBot="1" x14ac:dyDescent="0.3">
      <c r="A6" s="1"/>
      <c r="B6" s="11">
        <f t="shared" si="0"/>
        <v>4</v>
      </c>
      <c r="C6" s="13" t="s">
        <v>79</v>
      </c>
      <c r="D6" s="9" t="s">
        <v>12</v>
      </c>
      <c r="E6" s="10" t="s">
        <v>28</v>
      </c>
      <c r="F6" s="9" t="s">
        <v>42</v>
      </c>
      <c r="G6" s="10" t="s">
        <v>53</v>
      </c>
      <c r="H6" s="9" t="s">
        <v>64</v>
      </c>
      <c r="I6" s="10" t="s">
        <v>83</v>
      </c>
      <c r="J6" s="9">
        <v>2</v>
      </c>
      <c r="K6" s="9"/>
    </row>
    <row r="7" spans="1:11" ht="36.75" thickBot="1" x14ac:dyDescent="0.3">
      <c r="A7" s="1"/>
      <c r="B7" s="11">
        <f>ROW(B7) - ROW($B$2)</f>
        <v>5</v>
      </c>
      <c r="C7" s="12" t="s">
        <v>3</v>
      </c>
      <c r="D7" s="7" t="s">
        <v>13</v>
      </c>
      <c r="E7" s="8" t="s">
        <v>29</v>
      </c>
      <c r="F7" s="7" t="s">
        <v>43</v>
      </c>
      <c r="G7" s="8" t="s">
        <v>54</v>
      </c>
      <c r="H7" s="7" t="s">
        <v>65</v>
      </c>
      <c r="I7" s="10" t="s">
        <v>83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80</v>
      </c>
      <c r="D8" s="9" t="s">
        <v>14</v>
      </c>
      <c r="E8" s="10" t="s">
        <v>30</v>
      </c>
      <c r="F8" s="7" t="s">
        <v>82</v>
      </c>
      <c r="G8" s="10" t="s">
        <v>83</v>
      </c>
      <c r="H8" s="9" t="s">
        <v>83</v>
      </c>
      <c r="I8" s="10" t="s">
        <v>83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4</v>
      </c>
      <c r="D9" s="7" t="s">
        <v>15</v>
      </c>
      <c r="E9" s="8" t="s">
        <v>31</v>
      </c>
      <c r="F9" s="7" t="s">
        <v>82</v>
      </c>
      <c r="G9" s="8" t="s">
        <v>73</v>
      </c>
      <c r="H9" s="7" t="s">
        <v>83</v>
      </c>
      <c r="I9" s="10" t="s">
        <v>83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2" t="s">
        <v>5</v>
      </c>
      <c r="D10" s="9" t="s">
        <v>16</v>
      </c>
      <c r="E10" s="10" t="s">
        <v>32</v>
      </c>
      <c r="F10" s="9" t="s">
        <v>44</v>
      </c>
      <c r="G10" s="10" t="s">
        <v>55</v>
      </c>
      <c r="H10" s="9" t="s">
        <v>62</v>
      </c>
      <c r="I10" s="10" t="s">
        <v>74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17</v>
      </c>
      <c r="E11" s="8" t="s">
        <v>33</v>
      </c>
      <c r="F11" s="7" t="s">
        <v>44</v>
      </c>
      <c r="G11" s="8" t="s">
        <v>56</v>
      </c>
      <c r="H11" s="7" t="s">
        <v>62</v>
      </c>
      <c r="I11" s="8" t="s">
        <v>75</v>
      </c>
      <c r="J11" s="7">
        <v>7</v>
      </c>
      <c r="K11" s="7"/>
    </row>
    <row r="12" spans="1:11" ht="36.75" thickBot="1" x14ac:dyDescent="0.3">
      <c r="A12" s="1"/>
      <c r="B12" s="11">
        <f t="shared" si="0"/>
        <v>10</v>
      </c>
      <c r="C12" s="12" t="s">
        <v>5</v>
      </c>
      <c r="D12" s="9" t="s">
        <v>18</v>
      </c>
      <c r="E12" s="10" t="s">
        <v>34</v>
      </c>
      <c r="F12" s="9" t="s">
        <v>45</v>
      </c>
      <c r="G12" s="10"/>
      <c r="H12" s="9" t="s">
        <v>66</v>
      </c>
      <c r="I12" s="10" t="s">
        <v>76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6</v>
      </c>
      <c r="D13" s="7" t="s">
        <v>19</v>
      </c>
      <c r="E13" s="8" t="s">
        <v>35</v>
      </c>
      <c r="F13" s="7" t="s">
        <v>82</v>
      </c>
      <c r="G13" s="8" t="s">
        <v>57</v>
      </c>
      <c r="H13" s="7" t="s">
        <v>67</v>
      </c>
      <c r="I13" s="8" t="s">
        <v>83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5</v>
      </c>
      <c r="D14" s="9" t="s">
        <v>20</v>
      </c>
      <c r="E14" s="10" t="s">
        <v>36</v>
      </c>
      <c r="F14" s="9" t="s">
        <v>44</v>
      </c>
      <c r="G14" s="10" t="s">
        <v>58</v>
      </c>
      <c r="H14" s="9" t="s">
        <v>62</v>
      </c>
      <c r="I14" s="10" t="s">
        <v>77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81</v>
      </c>
      <c r="D15" s="7" t="s">
        <v>21</v>
      </c>
      <c r="E15" s="8" t="s">
        <v>37</v>
      </c>
      <c r="F15" s="7" t="s">
        <v>82</v>
      </c>
      <c r="G15" s="7" t="s">
        <v>46</v>
      </c>
      <c r="H15" s="7"/>
      <c r="I15" s="8" t="s">
        <v>83</v>
      </c>
      <c r="J15" s="7">
        <v>8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7</v>
      </c>
      <c r="D16" s="9" t="s">
        <v>22</v>
      </c>
      <c r="E16" s="10" t="s">
        <v>38</v>
      </c>
      <c r="F16" s="9" t="s">
        <v>47</v>
      </c>
      <c r="G16" s="10" t="s">
        <v>59</v>
      </c>
      <c r="H16" s="9" t="s">
        <v>68</v>
      </c>
      <c r="I16" s="8" t="s">
        <v>83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3" t="s">
        <v>7</v>
      </c>
      <c r="D17" s="7" t="s">
        <v>23</v>
      </c>
      <c r="E17" s="8" t="s">
        <v>39</v>
      </c>
      <c r="F17" s="7" t="s">
        <v>48</v>
      </c>
      <c r="G17" s="8" t="s">
        <v>60</v>
      </c>
      <c r="H17" s="7" t="s">
        <v>69</v>
      </c>
      <c r="I17" s="8" t="s">
        <v>83</v>
      </c>
      <c r="J17" s="7">
        <v>1</v>
      </c>
      <c r="K17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2024-06-21T15:59:47Z</dcterms:modified>
</cp:coreProperties>
</file>