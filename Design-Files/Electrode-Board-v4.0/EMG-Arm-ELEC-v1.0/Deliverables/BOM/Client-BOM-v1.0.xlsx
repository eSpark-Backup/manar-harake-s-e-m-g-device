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EMG-Arm-ELEC-v1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<sst xmlns="http://schemas.openxmlformats.org/spreadsheetml/2006/main" count="173" uniqueCount="117">
  <si>
    <t>#</t>
  </si>
  <si>
    <t>Item Type</t>
  </si>
  <si>
    <t>Capacitors</t>
  </si>
  <si>
    <t>Capacitor</t>
  </si>
  <si>
    <t>Diode</t>
  </si>
  <si>
    <t>FFC, FPC Connector</t>
  </si>
  <si>
    <t>Resistor</t>
  </si>
  <si>
    <t>Switch</t>
  </si>
  <si>
    <t>IC</t>
  </si>
  <si>
    <t>Designator</t>
  </si>
  <si>
    <t>C1, C3</t>
  </si>
  <si>
    <t>C2, C4, C5, C16, C24, C32, C40, C48, C56, C64</t>
  </si>
  <si>
    <t>C6, C17, C25, C33, C41, C49, C57, C65</t>
  </si>
  <si>
    <t>C7, C18, C26, C34, C42, C50, C58, C66</t>
  </si>
  <si>
    <t>C8, C9, C19, C20, C27, C28, C35, C36, C43, C44, C51, C52, C59, C60, C67, C68</t>
  </si>
  <si>
    <t>C10, C21, C29, C37, C45, C53, C61, C69</t>
  </si>
  <si>
    <t>C11, C22, C30, C38, C46, C54, C62, C70</t>
  </si>
  <si>
    <t>C12, C23, C31, C39, C47, C55, C63, C71</t>
  </si>
  <si>
    <t>C13</t>
  </si>
  <si>
    <t>C14, C15</t>
  </si>
  <si>
    <t>D1, D2, D3, D4, D5, D6, D7, D8</t>
  </si>
  <si>
    <t>J3, J7, J10, J13, J19, J22, J25</t>
  </si>
  <si>
    <t>J4</t>
  </si>
  <si>
    <t>J16</t>
  </si>
  <si>
    <t>R1, R9, R24, R32, R37, R45, R50, R58, R63, R71, R76, R84, R89, R97, R102, R110</t>
  </si>
  <si>
    <t>R2, R7, R10, R12, R14, R15, R16, R18, R19, R20, R22, R23, R25, R30, R33, R35, R38, R43, R46, R48, R51, R56, R59, R61, R64, R69, R72, R74, R77, R82, R85, R87, R90, R95, R98, R100, R103, R108, R111, R113</t>
  </si>
  <si>
    <t>R3, R4, R8, R26, R27, R31, R39, R40, R44, R52, R53, R57, R65, R66, R70, R78, R79, R83, R91, R92, R96, R104, R105, R109</t>
  </si>
  <si>
    <t>R5, R6, R11, R13, R17, R21, R28, R29, R34, R36, R41, R42, R47, R49, R54, R55, R60, R62, R67, R68, R73, R75, R80, R81, R86, R88, R93, R94, R99, R101, R106, R107, R112, R114</t>
  </si>
  <si>
    <t>R115, R116, R117, R118, R119, R120, R121</t>
  </si>
  <si>
    <t>SW1, SW2</t>
  </si>
  <si>
    <t>U1</t>
  </si>
  <si>
    <t>U2, U5, U6, U7, U8, U9, U10, U11</t>
  </si>
  <si>
    <t>U3, U4</t>
  </si>
  <si>
    <t>Description</t>
  </si>
  <si>
    <t>CAP CER 4.7UF 25V X7R 0805</t>
  </si>
  <si>
    <t>CAP CER 0.1UF 50V X7R 0402</t>
  </si>
  <si>
    <t>CAP CER, 4.7 µF, 25 V, 0603</t>
  </si>
  <si>
    <t>CAP CER 2200PF 50V X7R 0603</t>
  </si>
  <si>
    <t>CAP CER 0.047UF 50V X8R 0603</t>
  </si>
  <si>
    <t>Optional</t>
  </si>
  <si>
    <t>CAP CER 47UF 10V X5R 0805</t>
  </si>
  <si>
    <t>CAP CER 0.22UF 25V X7R 0603</t>
  </si>
  <si>
    <t>CAP CER 10UF 25V X5R 0603</t>
  </si>
  <si>
    <t>DIODE ZENER 3.3V 200MW SOD323F</t>
  </si>
  <si>
    <t>Sensor Connecting Pads</t>
  </si>
  <si>
    <t>-40℃~+80℃ 15P Dual-sided contacts / top and bottom connection 0.5mm SMD,P=0.5mm,Surface Mount，Right Angle FFC, FPC (Flat Flexible) Connector Assemblies ROHS</t>
  </si>
  <si>
    <t>RES 1K OHM 1% 1/16W 0402</t>
  </si>
  <si>
    <t>RES SMD 1M OHM 1% 1/10W 0603</t>
  </si>
  <si>
    <t>RES 10K OHM 1% 1/16W 0402</t>
  </si>
  <si>
    <t>RES 0 OHM JUMPER 1/10W 0603</t>
  </si>
  <si>
    <t>No Gull Wing 50mA 100MΩ 80000 260gf@±50gf 12V -25℃~+85℃ 1.7mm Golden Round Button Brick nogging SPST SMD Tactile Switches ROHS</t>
  </si>
  <si>
    <t>IC REG LINEAR 5V 1A SOT-223-4</t>
  </si>
  <si>
    <t>IC OPAMP JFET 4 CIRCUIT 14TSSOP</t>
  </si>
  <si>
    <t>IC OPAMP GP 1.3MHZ 14SO</t>
  </si>
  <si>
    <t>Footprint</t>
  </si>
  <si>
    <t>Cap-0805</t>
  </si>
  <si>
    <t>cap-0402</t>
  </si>
  <si>
    <t>Cap-0603</t>
  </si>
  <si>
    <t>Cap-0402</t>
  </si>
  <si>
    <t>SOD323F</t>
  </si>
  <si>
    <t>EMG 2 PAD</t>
  </si>
  <si>
    <t>8.01A0.015200</t>
  </si>
  <si>
    <t>EMG 3 Pad</t>
  </si>
  <si>
    <t>Res-0603</t>
  </si>
  <si>
    <t>Res-0402</t>
  </si>
  <si>
    <t>TC-0522C-1.7-260G_</t>
  </si>
  <si>
    <t>SOT- 223</t>
  </si>
  <si>
    <t>TSSOP-14</t>
  </si>
  <si>
    <t>14-SO</t>
  </si>
  <si>
    <t>Manufacturer Part Number</t>
  </si>
  <si>
    <t>CL21B475KAFNNNE</t>
  </si>
  <si>
    <t>C1005X7R1H104KT000F</t>
  </si>
  <si>
    <t>C1608X5R1E475KT000E</t>
  </si>
  <si>
    <t>CC0603KRX7R9BB222</t>
  </si>
  <si>
    <t>CGA3E2X8R1H473M080AA</t>
  </si>
  <si>
    <t>GRM21BR61A476ME15L</t>
  </si>
  <si>
    <t>CC0603KRX7R8BB224</t>
  </si>
  <si>
    <t>CL10A106MA8NRNC</t>
  </si>
  <si>
    <t>GRM155R71H104ME14D</t>
  </si>
  <si>
    <t>MM3Z3V3B</t>
  </si>
  <si>
    <t>RC0402FR-071KL</t>
  </si>
  <si>
    <t>RC0603FR-071ML</t>
  </si>
  <si>
    <t>RC0402FR-0710KL</t>
  </si>
  <si>
    <t>RC0603JR-070RL</t>
  </si>
  <si>
    <t>TC-0522C-1.7-260G</t>
  </si>
  <si>
    <t>TLV76150DCYR</t>
  </si>
  <si>
    <t>TL074HIPWR</t>
  </si>
  <si>
    <t>LM324DT</t>
  </si>
  <si>
    <t>Manufacturer</t>
  </si>
  <si>
    <t>Samsung</t>
  </si>
  <si>
    <t>TDK</t>
  </si>
  <si>
    <t>Yageo</t>
  </si>
  <si>
    <t>Murata</t>
  </si>
  <si>
    <t>ON Semiconductor / Fairchild</t>
  </si>
  <si>
    <t>DIANWEI</t>
  </si>
  <si>
    <t>HCTL</t>
  </si>
  <si>
    <t>Texas Instruments</t>
  </si>
  <si>
    <t>STMicroelectronics</t>
  </si>
  <si>
    <t>4.7uF</t>
  </si>
  <si>
    <t>100nF</t>
  </si>
  <si>
    <t>2.2nF</t>
  </si>
  <si>
    <t>47nF</t>
  </si>
  <si>
    <t>DNP</t>
  </si>
  <si>
    <t>47uF</t>
  </si>
  <si>
    <t>220nF</t>
  </si>
  <si>
    <t>10uF</t>
  </si>
  <si>
    <t>0.1uF</t>
  </si>
  <si>
    <t>1K</t>
  </si>
  <si>
    <t>1M</t>
  </si>
  <si>
    <t>10K</t>
  </si>
  <si>
    <t>0R</t>
  </si>
  <si>
    <t>Quantity</t>
  </si>
  <si>
    <t>-</t>
  </si>
  <si>
    <t>Electrode Pad</t>
  </si>
  <si>
    <t>Value</t>
  </si>
  <si>
    <t>Remarks</t>
  </si>
  <si>
    <t>DO NOT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</si>
</sst>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5"/>
  <sheetViews>
    <sheetView tabSelected="1" topLeftCell="A13" workbookViewId="0">
      <selection activeCell="I23" sqref="I23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8.7109375" bestFit="1" customWidth="1"/>
    <col min="11" max="11" width="12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9</v>
      </c>
      <c r="E2" s="6" t="s">
        <v>33</v>
      </c>
      <c r="F2" s="5" t="s">
        <v>54</v>
      </c>
      <c r="G2" s="6" t="s">
        <v>69</v>
      </c>
      <c r="H2" s="5" t="s">
        <v>88</v>
      </c>
      <c r="I2" s="6" t="s">
        <v>114</v>
      </c>
      <c r="J2" s="5" t="s">
        <v>111</v>
      </c>
      <c r="K2" s="5" t="s">
        <v>115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10</v>
      </c>
      <c r="E3" s="8" t="s">
        <v>34</v>
      </c>
      <c r="F3" s="7" t="s">
        <v>55</v>
      </c>
      <c r="G3" s="8" t="s">
        <v>70</v>
      </c>
      <c r="H3" s="7" t="s">
        <v>89</v>
      </c>
      <c r="I3" s="8" t="s">
        <v>98</v>
      </c>
      <c r="J3" s="7">
        <v>2</v>
      </c>
      <c r="K3" s="7"/>
    </row>
    <row r="4" spans="1:11" ht="15.75" thickBot="1" x14ac:dyDescent="0.3">
      <c r="A4" s="1"/>
      <c r="B4" s="11">
        <f t="shared" ref="B4:B24" si="0">ROW(B4) - ROW($B$2)</f>
        <v>2</v>
      </c>
      <c r="C4" s="13" t="s">
        <v>3</v>
      </c>
      <c r="D4" s="9" t="s">
        <v>11</v>
      </c>
      <c r="E4" s="10" t="s">
        <v>35</v>
      </c>
      <c r="F4" s="9" t="s">
        <v>56</v>
      </c>
      <c r="G4" s="10" t="s">
        <v>71</v>
      </c>
      <c r="H4" s="9" t="s">
        <v>90</v>
      </c>
      <c r="I4" s="10" t="s">
        <v>99</v>
      </c>
      <c r="J4" s="9">
        <v>10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12</v>
      </c>
      <c r="E5" s="8" t="s">
        <v>36</v>
      </c>
      <c r="F5" s="7" t="s">
        <v>57</v>
      </c>
      <c r="G5" s="8" t="s">
        <v>72</v>
      </c>
      <c r="H5" s="7" t="s">
        <v>90</v>
      </c>
      <c r="I5" s="8" t="s">
        <v>98</v>
      </c>
      <c r="J5" s="7">
        <v>8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13</v>
      </c>
      <c r="E6" s="10" t="s">
        <v>37</v>
      </c>
      <c r="F6" s="9" t="s">
        <v>57</v>
      </c>
      <c r="G6" s="10" t="s">
        <v>73</v>
      </c>
      <c r="H6" s="9" t="s">
        <v>91</v>
      </c>
      <c r="I6" s="10" t="s">
        <v>100</v>
      </c>
      <c r="J6" s="9">
        <v>8</v>
      </c>
      <c r="K6" s="9"/>
    </row>
    <row r="7" spans="1:11" ht="24.75" thickBot="1" x14ac:dyDescent="0.3">
      <c r="A7" s="1"/>
      <c r="B7" s="11">
        <f>ROW(B7) - ROW($B$2)</f>
        <v>5</v>
      </c>
      <c r="C7" s="12" t="s">
        <v>3</v>
      </c>
      <c r="D7" s="7" t="s">
        <v>14</v>
      </c>
      <c r="E7" s="8" t="s">
        <v>38</v>
      </c>
      <c r="F7" s="7" t="s">
        <v>57</v>
      </c>
      <c r="G7" s="8" t="s">
        <v>74</v>
      </c>
      <c r="H7" s="7" t="s">
        <v>90</v>
      </c>
      <c r="I7" s="8" t="s">
        <v>101</v>
      </c>
      <c r="J7" s="7">
        <v>16</v>
      </c>
      <c r="K7" s="7"/>
    </row>
    <row r="8" spans="1:11" ht="15.75" thickBot="1" x14ac:dyDescent="0.3">
      <c r="A8" s="1"/>
      <c r="B8" s="11">
        <f t="shared" si="0"/>
        <v>6</v>
      </c>
      <c r="C8" s="12" t="s">
        <v>3</v>
      </c>
      <c r="D8" s="15" t="s">
        <v>15</v>
      </c>
      <c r="E8" s="16" t="s">
        <v>39</v>
      </c>
      <c r="F8" s="15" t="s">
        <v>57</v>
      </c>
      <c r="G8" s="16" t="s">
        <v>112</v>
      </c>
      <c r="H8" s="15" t="s">
        <v>112</v>
      </c>
      <c r="I8" s="16" t="s">
        <v>102</v>
      </c>
      <c r="J8" s="15">
        <v>8</v>
      </c>
      <c r="K8" s="17" t="s">
        <v>116</v>
      </c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16</v>
      </c>
      <c r="E9" s="8" t="s">
        <v>40</v>
      </c>
      <c r="F9" s="7" t="s">
        <v>55</v>
      </c>
      <c r="G9" s="8" t="s">
        <v>75</v>
      </c>
      <c r="H9" s="7" t="s">
        <v>92</v>
      </c>
      <c r="I9" s="8" t="s">
        <v>103</v>
      </c>
      <c r="J9" s="7">
        <v>8</v>
      </c>
      <c r="K9" s="7"/>
    </row>
    <row r="10" spans="1:11" ht="15.75" thickBot="1" x14ac:dyDescent="0.3">
      <c r="A10" s="1"/>
      <c r="B10" s="11">
        <f t="shared" si="0"/>
        <v>8</v>
      </c>
      <c r="C10" s="12" t="s">
        <v>3</v>
      </c>
      <c r="D10" s="9" t="s">
        <v>17</v>
      </c>
      <c r="E10" s="10" t="s">
        <v>41</v>
      </c>
      <c r="F10" s="9" t="s">
        <v>57</v>
      </c>
      <c r="G10" s="10" t="s">
        <v>76</v>
      </c>
      <c r="H10" s="9" t="s">
        <v>91</v>
      </c>
      <c r="I10" s="10" t="s">
        <v>104</v>
      </c>
      <c r="J10" s="9">
        <v>8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3</v>
      </c>
      <c r="D11" s="7" t="s">
        <v>18</v>
      </c>
      <c r="E11" s="8" t="s">
        <v>42</v>
      </c>
      <c r="F11" s="7" t="s">
        <v>57</v>
      </c>
      <c r="G11" s="8" t="s">
        <v>77</v>
      </c>
      <c r="H11" s="7" t="s">
        <v>89</v>
      </c>
      <c r="I11" s="8" t="s">
        <v>105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19</v>
      </c>
      <c r="E12" s="10" t="s">
        <v>35</v>
      </c>
      <c r="F12" s="9" t="s">
        <v>58</v>
      </c>
      <c r="G12" s="10" t="s">
        <v>78</v>
      </c>
      <c r="H12" s="9" t="s">
        <v>92</v>
      </c>
      <c r="I12" s="10" t="s">
        <v>106</v>
      </c>
      <c r="J12" s="9">
        <v>2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4</v>
      </c>
      <c r="D13" s="7" t="s">
        <v>20</v>
      </c>
      <c r="E13" s="8" t="s">
        <v>43</v>
      </c>
      <c r="F13" s="7" t="s">
        <v>59</v>
      </c>
      <c r="G13" s="8" t="s">
        <v>79</v>
      </c>
      <c r="H13" s="7" t="s">
        <v>93</v>
      </c>
      <c r="I13" s="8" t="s">
        <v>112</v>
      </c>
      <c r="J13" s="7">
        <v>8</v>
      </c>
      <c r="K13" s="7"/>
    </row>
    <row r="14" spans="1:11" ht="15.75" thickBot="1" x14ac:dyDescent="0.3">
      <c r="A14" s="1"/>
      <c r="B14" s="11">
        <f t="shared" si="0"/>
        <v>12</v>
      </c>
      <c r="C14" s="13" t="s">
        <v>113</v>
      </c>
      <c r="D14" s="9" t="s">
        <v>21</v>
      </c>
      <c r="E14" s="10" t="s">
        <v>44</v>
      </c>
      <c r="F14" s="9" t="s">
        <v>60</v>
      </c>
      <c r="G14" s="10" t="s">
        <v>112</v>
      </c>
      <c r="H14" s="9" t="s">
        <v>112</v>
      </c>
      <c r="I14" s="8" t="s">
        <v>112</v>
      </c>
      <c r="J14" s="9">
        <v>7</v>
      </c>
      <c r="K14" s="9"/>
    </row>
    <row r="15" spans="1:11" ht="60.75" thickBot="1" x14ac:dyDescent="0.3">
      <c r="A15" s="1"/>
      <c r="B15" s="11">
        <f>ROW(B15) - ROW($B$2)</f>
        <v>13</v>
      </c>
      <c r="C15" s="12" t="s">
        <v>5</v>
      </c>
      <c r="D15" s="7" t="s">
        <v>22</v>
      </c>
      <c r="E15" s="8" t="s">
        <v>45</v>
      </c>
      <c r="F15" s="7" t="s">
        <v>61</v>
      </c>
      <c r="G15" s="8" t="s">
        <v>61</v>
      </c>
      <c r="H15" s="7" t="s">
        <v>94</v>
      </c>
      <c r="I15" s="8" t="s">
        <v>112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113</v>
      </c>
      <c r="D16" s="9" t="s">
        <v>23</v>
      </c>
      <c r="E16" s="10" t="s">
        <v>44</v>
      </c>
      <c r="F16" s="9" t="s">
        <v>62</v>
      </c>
      <c r="G16" s="10" t="s">
        <v>112</v>
      </c>
      <c r="H16" s="9" t="s">
        <v>112</v>
      </c>
      <c r="I16" s="8" t="s">
        <v>112</v>
      </c>
      <c r="J16" s="9">
        <v>1</v>
      </c>
      <c r="K16" s="9"/>
    </row>
    <row r="17" spans="1:11" ht="24.75" thickBot="1" x14ac:dyDescent="0.3">
      <c r="A17" s="1"/>
      <c r="B17" s="11">
        <f>ROW(B17) - ROW($B$2)</f>
        <v>15</v>
      </c>
      <c r="C17" s="13" t="s">
        <v>6</v>
      </c>
      <c r="D17" s="15" t="s">
        <v>24</v>
      </c>
      <c r="E17" s="16" t="s">
        <v>39</v>
      </c>
      <c r="F17" s="15" t="s">
        <v>63</v>
      </c>
      <c r="G17" s="16" t="s">
        <v>112</v>
      </c>
      <c r="H17" s="15" t="s">
        <v>112</v>
      </c>
      <c r="I17" s="16" t="s">
        <v>102</v>
      </c>
      <c r="J17" s="15">
        <v>16</v>
      </c>
      <c r="K17" s="17" t="s">
        <v>116</v>
      </c>
    </row>
    <row r="18" spans="1:11" ht="60.75" thickBot="1" x14ac:dyDescent="0.3">
      <c r="A18" s="1"/>
      <c r="B18" s="11">
        <f t="shared" si="0"/>
        <v>16</v>
      </c>
      <c r="C18" s="13" t="s">
        <v>6</v>
      </c>
      <c r="D18" s="9" t="s">
        <v>25</v>
      </c>
      <c r="E18" s="10" t="s">
        <v>46</v>
      </c>
      <c r="F18" s="9" t="s">
        <v>64</v>
      </c>
      <c r="G18" s="10" t="s">
        <v>80</v>
      </c>
      <c r="H18" s="9" t="s">
        <v>91</v>
      </c>
      <c r="I18" s="10" t="s">
        <v>107</v>
      </c>
      <c r="J18" s="9">
        <v>40</v>
      </c>
      <c r="K18" s="9"/>
    </row>
    <row r="19" spans="1:11" ht="36.75" thickBot="1" x14ac:dyDescent="0.3">
      <c r="A19" s="1"/>
      <c r="B19" s="11">
        <f>ROW(B19) - ROW($B$2)</f>
        <v>17</v>
      </c>
      <c r="C19" s="12" t="s">
        <v>6</v>
      </c>
      <c r="D19" s="7" t="s">
        <v>26</v>
      </c>
      <c r="E19" s="8" t="s">
        <v>47</v>
      </c>
      <c r="F19" s="7" t="s">
        <v>63</v>
      </c>
      <c r="G19" s="8" t="s">
        <v>81</v>
      </c>
      <c r="H19" s="7" t="s">
        <v>91</v>
      </c>
      <c r="I19" s="8" t="s">
        <v>108</v>
      </c>
      <c r="J19" s="7">
        <v>24</v>
      </c>
      <c r="K19" s="7"/>
    </row>
    <row r="20" spans="1:11" ht="48.75" thickBot="1" x14ac:dyDescent="0.3">
      <c r="A20" s="1"/>
      <c r="B20" s="11">
        <f t="shared" si="0"/>
        <v>18</v>
      </c>
      <c r="C20" s="12" t="s">
        <v>6</v>
      </c>
      <c r="D20" s="9" t="s">
        <v>27</v>
      </c>
      <c r="E20" s="10" t="s">
        <v>48</v>
      </c>
      <c r="F20" s="9" t="s">
        <v>64</v>
      </c>
      <c r="G20" s="10" t="s">
        <v>82</v>
      </c>
      <c r="H20" s="9" t="s">
        <v>91</v>
      </c>
      <c r="I20" s="10" t="s">
        <v>109</v>
      </c>
      <c r="J20" s="9">
        <v>34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6</v>
      </c>
      <c r="D21" s="7" t="s">
        <v>28</v>
      </c>
      <c r="E21" s="8" t="s">
        <v>49</v>
      </c>
      <c r="F21" s="7" t="s">
        <v>63</v>
      </c>
      <c r="G21" s="8" t="s">
        <v>83</v>
      </c>
      <c r="H21" s="7" t="s">
        <v>91</v>
      </c>
      <c r="I21" s="8" t="s">
        <v>110</v>
      </c>
      <c r="J21" s="7">
        <v>7</v>
      </c>
      <c r="K21" s="7"/>
    </row>
    <row r="22" spans="1:11" ht="48.75" thickBot="1" x14ac:dyDescent="0.3">
      <c r="A22" s="1"/>
      <c r="B22" s="11">
        <f t="shared" si="0"/>
        <v>20</v>
      </c>
      <c r="C22" s="13" t="s">
        <v>7</v>
      </c>
      <c r="D22" s="9" t="s">
        <v>29</v>
      </c>
      <c r="E22" s="10" t="s">
        <v>50</v>
      </c>
      <c r="F22" s="9" t="s">
        <v>65</v>
      </c>
      <c r="G22" s="10" t="s">
        <v>84</v>
      </c>
      <c r="H22" s="9" t="s">
        <v>95</v>
      </c>
      <c r="I22" s="10" t="s">
        <v>84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8</v>
      </c>
      <c r="D23" s="7" t="s">
        <v>30</v>
      </c>
      <c r="E23" s="8" t="s">
        <v>51</v>
      </c>
      <c r="F23" s="7" t="s">
        <v>66</v>
      </c>
      <c r="G23" s="8" t="s">
        <v>85</v>
      </c>
      <c r="H23" s="7" t="s">
        <v>96</v>
      </c>
      <c r="I23" s="8" t="s">
        <v>85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8</v>
      </c>
      <c r="D24" s="9" t="s">
        <v>31</v>
      </c>
      <c r="E24" s="10" t="s">
        <v>52</v>
      </c>
      <c r="F24" s="9" t="s">
        <v>67</v>
      </c>
      <c r="G24" s="10" t="s">
        <v>86</v>
      </c>
      <c r="H24" s="9" t="s">
        <v>96</v>
      </c>
      <c r="I24" s="10" t="s">
        <v>86</v>
      </c>
      <c r="J24" s="9">
        <v>8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8</v>
      </c>
      <c r="D25" s="7" t="s">
        <v>32</v>
      </c>
      <c r="E25" s="8" t="s">
        <v>53</v>
      </c>
      <c r="F25" s="7" t="s">
        <v>68</v>
      </c>
      <c r="G25" s="8" t="s">
        <v>87</v>
      </c>
      <c r="H25" s="7" t="s">
        <v>97</v>
      </c>
      <c r="I25" s="8" t="s">
        <v>87</v>
      </c>
      <c r="J25" s="7">
        <v>2</v>
      </c>
      <c r="K2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2025-02-11T12:27:40Z</dcterms:modified>
</cp:coreProperties>
</file>