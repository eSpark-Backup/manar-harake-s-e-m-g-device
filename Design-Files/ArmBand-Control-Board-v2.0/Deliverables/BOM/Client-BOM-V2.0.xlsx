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Control-Board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0" i="1" l="1"/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<sst xmlns="http://schemas.openxmlformats.org/spreadsheetml/2006/main" count="347" uniqueCount="236">
  <si>
    <t>#</t>
  </si>
  <si>
    <t>Item Type</t>
  </si>
  <si>
    <t>Diode</t>
  </si>
  <si>
    <t>FFC, FPC Connector</t>
  </si>
  <si>
    <t>Inductor</t>
  </si>
  <si>
    <t>Resistor</t>
  </si>
  <si>
    <t>Designator</t>
  </si>
  <si>
    <t>ANT</t>
  </si>
  <si>
    <t>C1, C2, C7</t>
  </si>
  <si>
    <t>C3, C4, C6, C10, C11, C12, C13, C14, C15, C18, C19, C20, C21, C22, C23, C24, C31, C34, C35, C36, C41, C42, C47</t>
  </si>
  <si>
    <t>C5</t>
  </si>
  <si>
    <t>C8, C25, C26, C27, C28, C39, C40, C50</t>
  </si>
  <si>
    <t>C9, C33</t>
  </si>
  <si>
    <t>C16, C32, C43, C45, C46, C51</t>
  </si>
  <si>
    <t>C17</t>
  </si>
  <si>
    <t>C37</t>
  </si>
  <si>
    <t>C38</t>
  </si>
  <si>
    <t>C44</t>
  </si>
  <si>
    <t>D1</t>
  </si>
  <si>
    <t>J1</t>
  </si>
  <si>
    <t>J3</t>
  </si>
  <si>
    <t>J4</t>
  </si>
  <si>
    <t>J5</t>
  </si>
  <si>
    <t>J6</t>
  </si>
  <si>
    <t>J7</t>
  </si>
  <si>
    <t>L1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</si>
  <si>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</si>
  <si>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</si>
  <si>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</si>
  <si>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</si>
  <si>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</si>
  <si>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</si>
  <si>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</si>
  <si>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</si>
  <si>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</si>
  <si>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R25</t>
  </si>
  <si>
    <t>R5, R6, R12, R18, R19, R27</t>
  </si>
  <si>
    <t>R7, R8, R13, R14, R15, R16, R17, R26</t>
  </si>
  <si>
    <t>R10, R11</t>
  </si>
  <si>
    <t>R20, R21</t>
  </si>
  <si>
    <t>R22</t>
  </si>
  <si>
    <t>R24</t>
  </si>
  <si>
    <t>SB1, SB2, SB3</t>
  </si>
  <si>
    <t>SW1, SW2</t>
  </si>
  <si>
    <t>U1</t>
  </si>
  <si>
    <t>U2</t>
  </si>
  <si>
    <t>U3</t>
  </si>
  <si>
    <t>U4</t>
  </si>
  <si>
    <t>U5</t>
  </si>
  <si>
    <t>U6</t>
  </si>
  <si>
    <t>U7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</si>
  <si>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</si>
  <si>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</si>
  <si>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</si>
  <si>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</si>
  <si>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</si>
  <si>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</si>
  <si>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</si>
  <si>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</si>
  <si>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</si>
  <si>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</si>
  <si>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</si>
  <si>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0402 100 pF 50 V ±5 % Tolerance C0G SMT Multilayer Ceramic Capacitor</t>
  </si>
  <si>
    <t>CAP CER 0.8PF 50V C0G/NP0 0402</t>
  </si>
  <si>
    <t>CAP CER 1000PF 25V X7R 0402</t>
  </si>
  <si>
    <t>DIODE ZENER 5.1V 500MW SOD123</t>
  </si>
  <si>
    <t>CONN U.FL RCPT STR 50 OHM SMD</t>
  </si>
  <si>
    <t>CONN HEADER VERT 2POS 1.5MM</t>
  </si>
  <si>
    <t>CONN RCP USB3.1 TYPEC 24P SMD RA</t>
  </si>
  <si>
    <t>CONN HEADER VERT 8POS 2.54MM</t>
  </si>
  <si>
    <t>-40℃~+80℃ 15P Dual-sided contacts / top and bottom connection 0.5mm SMD,P=0.5mm,Surface Mount，Right Angle FFC, FPC (Flat Flexible) Connector Assemblies ROHS</t>
  </si>
  <si>
    <t>CONN HEADER VERT 4POS 2.54MM</t>
  </si>
  <si>
    <t>FIXED IND 2.2UH 1.5A 160MOHM SMD</t>
  </si>
  <si>
    <t>500mA 10uH ±20% 320mΩ 0805 Inductors (SMD) ROHS</t>
  </si>
  <si>
    <t>560mA 15nH ±3% 170mΩ 0402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</si>
  <si>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</si>
  <si>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</si>
  <si>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</si>
  <si>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</si>
  <si>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</si>
  <si>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RES SMD 25m Ohms 125mW 0805</t>
  </si>
  <si>
    <t>RES 1K OHM 5% 1/16W 0402</t>
  </si>
  <si>
    <t>RES SMD 10K OHM 1% 1/16W 0402</t>
  </si>
  <si>
    <t>RES SMD 100K OHM 1% 1/5W 0402</t>
  </si>
  <si>
    <t>RES SMD 4.7K OHM 5% 1/10W 0402</t>
  </si>
  <si>
    <t>RES 5.1K OHM 1% 1/10W 0603</t>
  </si>
  <si>
    <t>RES 10K OHM 1% 1/16W 0402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</si>
  <si>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</si>
  <si>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</si>
  <si>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</si>
  <si>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</si>
  <si>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</si>
  <si>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</si>
  <si>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</si>
  <si>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</si>
  <si>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</si>
  <si>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</si>
  <si>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</si>
  <si>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</si>
  <si>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</si>
  <si>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</si>
  <si>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ANT#</t>
  </si>
  <si>
    <t>Cap0805</t>
  </si>
  <si>
    <t>Cap 0402</t>
  </si>
  <si>
    <t>Cap0603</t>
  </si>
  <si>
    <t>SOD-123</t>
  </si>
  <si>
    <t>U.FL-R-SMT-1(80)</t>
  </si>
  <si>
    <t>B2B-ZR(LF)(SN)</t>
  </si>
  <si>
    <t>2305018-2</t>
  </si>
  <si>
    <t>HDR1X8</t>
  </si>
  <si>
    <t>8.01A0.015200</t>
  </si>
  <si>
    <t>HDR1X4</t>
  </si>
  <si>
    <t>MAKK2016T2R2M</t>
  </si>
  <si>
    <t>Ind0805</t>
  </si>
  <si>
    <t>IND-0402</t>
  </si>
  <si>
    <t>IND 0603</t>
  </si>
  <si>
    <t>LVC505040-6R8M-N</t>
  </si>
  <si>
    <t>LED 0402</t>
  </si>
  <si>
    <t>RES 0805</t>
  </si>
  <si>
    <t>Res0402</t>
  </si>
  <si>
    <t>Res0603</t>
  </si>
  <si>
    <t>Res-0402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</si>
  <si>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</si>
  <si>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</si>
  <si>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</si>
  <si>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</si>
  <si>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</si>
  <si>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</si>
  <si>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</si>
  <si>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</si>
  <si>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</si>
  <si>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</si>
  <si>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</si>
  <si>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</si>
  <si>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</si>
  <si>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</si>
  <si>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</si>
  <si>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</si>
  <si>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</si>
  <si>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</si>
  <si>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</si>
  <si>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</si>
  <si>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GCM1555C1H101JA16D</t>
  </si>
  <si>
    <t>GJM1555C1HR80WB01D</t>
  </si>
  <si>
    <t>CC0402KRX7R8BB102</t>
  </si>
  <si>
    <t>MMSZ4689T1G</t>
  </si>
  <si>
    <t>MGFL2012F100MT-LF</t>
  </si>
  <si>
    <t>CS0402-15NH-S</t>
  </si>
  <si>
    <t>LQW18AN3N9C10D</t>
  </si>
  <si>
    <t>BLM18PG300SN1D</t>
  </si>
  <si>
    <t>XZVG68W-2</t>
  </si>
  <si>
    <t>XZMDK68W-2</t>
  </si>
  <si>
    <t>RC0402JR-071KL</t>
  </si>
  <si>
    <t>RC0402FR-0710KL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</si>
  <si>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</si>
  <si>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</si>
  <si>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</si>
  <si>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</si>
  <si>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</si>
  <si>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</si>
  <si>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</si>
  <si>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</si>
  <si>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</si>
  <si>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</si>
  <si>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</si>
  <si>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Manufacturer</t>
  </si>
  <si>
    <t>Murata</t>
  </si>
  <si>
    <t>Samsung</t>
  </si>
  <si>
    <t>Yageo</t>
  </si>
  <si>
    <t>Taiyo Yuden</t>
  </si>
  <si>
    <t>ON Semiconductor</t>
  </si>
  <si>
    <t>Hirose</t>
  </si>
  <si>
    <t>JST</t>
  </si>
  <si>
    <t>TE Connectivity AMP</t>
  </si>
  <si>
    <t>Wurth Electronics</t>
  </si>
  <si>
    <t>DIANWEI</t>
  </si>
  <si>
    <t>microgate</t>
  </si>
  <si>
    <t>Chilisin Elec</t>
  </si>
  <si>
    <t>Chlisin Elec</t>
  </si>
  <si>
    <t>SunLED</t>
  </si>
  <si>
    <t>UNI-Royal Elec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</si>
  <si>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</si>
  <si>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</si>
  <si>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</si>
  <si>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</si>
  <si>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</si>
  <si>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</si>
  <si>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</si>
  <si>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</si>
  <si>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</si>
  <si>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</si>
  <si>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Yangxing Tech</t>
  </si>
  <si>
    <t>HCI</t>
  </si>
  <si>
    <t>Antenna</t>
  </si>
  <si>
    <t>22uF</t>
  </si>
  <si>
    <t>0.1uF</t>
  </si>
  <si>
    <t>10uF</t>
  </si>
  <si>
    <t>20pF</t>
  </si>
  <si>
    <t>4.7uF</t>
  </si>
  <si>
    <t>1uF</t>
  </si>
  <si>
    <t>2.2uF</t>
  </si>
  <si>
    <t>100pF</t>
  </si>
  <si>
    <t>0.8pF</t>
  </si>
  <si>
    <t>1nF</t>
  </si>
  <si>
    <t>2.2uH</t>
  </si>
  <si>
    <t>10uH</t>
  </si>
  <si>
    <t>15nH</t>
  </si>
  <si>
    <t>3.9nH</t>
  </si>
  <si>
    <t>6.8uH</t>
  </si>
  <si>
    <t>25m</t>
  </si>
  <si>
    <t>1K</t>
  </si>
  <si>
    <t>DNP</t>
  </si>
  <si>
    <t>10K</t>
  </si>
  <si>
    <t>100K</t>
  </si>
  <si>
    <t>4.7K</t>
  </si>
  <si>
    <t>5.1K</t>
  </si>
  <si>
    <t>32.768kHz</t>
  </si>
  <si>
    <t>16MHz</t>
  </si>
  <si>
    <t>32MHz</t>
  </si>
  <si>
    <t>Quantity</t>
  </si>
  <si>
    <t>Value</t>
  </si>
  <si>
    <t>Remarks</t>
  </si>
  <si>
    <t>-</t>
  </si>
  <si>
    <t>Capacitor</t>
  </si>
  <si>
    <t>Connector</t>
  </si>
  <si>
    <t>LED</t>
  </si>
  <si>
    <t xml:space="preserve">Switch </t>
  </si>
  <si>
    <t>IC</t>
  </si>
  <si>
    <t>Crystal</t>
  </si>
  <si>
    <t>DO NOT PLACE</t>
  </si>
  <si>
    <t>0805W8F250MT5E</t>
  </si>
  <si>
    <t>Custom</t>
  </si>
  <si>
    <t xml:space="preserve">Peripheral </t>
  </si>
  <si>
    <t>FFC-0.5-15-100-A-4-8</t>
  </si>
  <si>
    <t>15P 0.5mm Same Side 100mm P=0.5mm FFC Cable (Flexible Flat Cable) ROHS</t>
  </si>
  <si>
    <t>XUNPU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</si>
</sst>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0"/>
  <sheetViews>
    <sheetView tabSelected="1" topLeftCell="A34" workbookViewId="0">
      <selection activeCell="J51" sqref="J5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1.42578125" bestFit="1" customWidth="1"/>
    <col min="7" max="7" width="33.42578125" bestFit="1" customWidth="1"/>
    <col min="8" max="8" width="21.42578125" bestFit="1" customWidth="1"/>
    <col min="9" max="9" width="8.4257812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6</v>
      </c>
      <c r="E2" s="6" t="s">
        <v>54</v>
      </c>
      <c r="F2" s="5" t="s">
        <v>100</v>
      </c>
      <c r="G2" s="6" t="s">
        <v>134</v>
      </c>
      <c r="H2" s="5" t="s">
        <v>165</v>
      </c>
      <c r="I2" s="6" t="s">
        <v>220</v>
      </c>
      <c r="J2" s="5" t="s">
        <v>219</v>
      </c>
      <c r="K2" s="5" t="s">
        <v>221</v>
      </c>
    </row>
    <row r="3" spans="1:11" ht="15.75" thickBot="1" x14ac:dyDescent="0.3">
      <c r="A3" s="1"/>
      <c r="B3" s="11">
        <f>ROW(B3) - ROW($B$2)</f>
        <v>1</v>
      </c>
      <c r="C3" s="12" t="s">
        <v>193</v>
      </c>
      <c r="D3" s="7" t="s">
        <v>7</v>
      </c>
      <c r="E3" s="8" t="s">
        <v>222</v>
      </c>
      <c r="F3" s="7" t="s">
        <v>101</v>
      </c>
      <c r="G3" s="8" t="s">
        <v>222</v>
      </c>
      <c r="H3" s="7" t="s">
        <v>222</v>
      </c>
      <c r="I3" s="8" t="s">
        <v>222</v>
      </c>
      <c r="J3" s="7">
        <v>1</v>
      </c>
      <c r="K3" s="7"/>
    </row>
    <row r="4" spans="1:11" ht="36.75" thickBot="1" x14ac:dyDescent="0.3">
      <c r="A4" s="1"/>
      <c r="B4" s="11">
        <f t="shared" ref="B4:B48" si="0">ROW(B4) - ROW($B$2)</f>
        <v>2</v>
      </c>
      <c r="C4" s="13" t="s">
        <v>223</v>
      </c>
      <c r="D4" s="9" t="s">
        <v>8</v>
      </c>
      <c r="E4" s="10" t="s">
        <v>55</v>
      </c>
      <c r="F4" s="9" t="s">
        <v>102</v>
      </c>
      <c r="G4" s="10" t="s">
        <v>135</v>
      </c>
      <c r="H4" s="9" t="s">
        <v>166</v>
      </c>
      <c r="I4" s="10" t="s">
        <v>194</v>
      </c>
      <c r="J4" s="9">
        <v>3</v>
      </c>
      <c r="K4" s="9"/>
    </row>
    <row r="5" spans="1:11" ht="36.75" thickBot="1" x14ac:dyDescent="0.3">
      <c r="A5" s="1"/>
      <c r="B5" s="11">
        <f>ROW(B5) - ROW($B$2)</f>
        <v>3</v>
      </c>
      <c r="C5" s="13" t="s">
        <v>223</v>
      </c>
      <c r="D5" s="7" t="s">
        <v>9</v>
      </c>
      <c r="E5" s="8" t="s">
        <v>56</v>
      </c>
      <c r="F5" s="7" t="s">
        <v>103</v>
      </c>
      <c r="G5" s="8" t="s">
        <v>136</v>
      </c>
      <c r="H5" s="7" t="s">
        <v>166</v>
      </c>
      <c r="I5" s="8" t="s">
        <v>195</v>
      </c>
      <c r="J5" s="7">
        <v>23</v>
      </c>
      <c r="K5" s="7"/>
    </row>
    <row r="6" spans="1:11" ht="15.75" thickBot="1" x14ac:dyDescent="0.3">
      <c r="A6" s="1"/>
      <c r="B6" s="11">
        <f t="shared" si="0"/>
        <v>4</v>
      </c>
      <c r="C6" s="13" t="s">
        <v>223</v>
      </c>
      <c r="D6" s="9" t="s">
        <v>10</v>
      </c>
      <c r="E6" s="10" t="s">
        <v>57</v>
      </c>
      <c r="F6" s="9" t="s">
        <v>104</v>
      </c>
      <c r="G6" s="10" t="s">
        <v>137</v>
      </c>
      <c r="H6" s="9" t="s">
        <v>167</v>
      </c>
      <c r="I6" s="10" t="s">
        <v>196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3" t="s">
        <v>223</v>
      </c>
      <c r="D7" s="7" t="s">
        <v>11</v>
      </c>
      <c r="E7" s="8" t="s">
        <v>58</v>
      </c>
      <c r="F7" s="7" t="s">
        <v>103</v>
      </c>
      <c r="G7" s="8" t="s">
        <v>138</v>
      </c>
      <c r="H7" s="7" t="s">
        <v>168</v>
      </c>
      <c r="I7" s="8" t="s">
        <v>197</v>
      </c>
      <c r="J7" s="7">
        <v>8</v>
      </c>
      <c r="K7" s="7"/>
    </row>
    <row r="8" spans="1:11" ht="24.75" thickBot="1" x14ac:dyDescent="0.3">
      <c r="A8" s="1"/>
      <c r="B8" s="11">
        <f t="shared" si="0"/>
        <v>6</v>
      </c>
      <c r="C8" s="13" t="s">
        <v>223</v>
      </c>
      <c r="D8" s="9" t="s">
        <v>12</v>
      </c>
      <c r="E8" s="10" t="s">
        <v>59</v>
      </c>
      <c r="F8" s="9" t="s">
        <v>103</v>
      </c>
      <c r="G8" s="10" t="s">
        <v>139</v>
      </c>
      <c r="H8" s="9" t="s">
        <v>169</v>
      </c>
      <c r="I8" s="10" t="s">
        <v>198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3" t="s">
        <v>223</v>
      </c>
      <c r="D9" s="7" t="s">
        <v>13</v>
      </c>
      <c r="E9" s="8" t="s">
        <v>60</v>
      </c>
      <c r="F9" s="7" t="s">
        <v>103</v>
      </c>
      <c r="G9" s="8" t="s">
        <v>140</v>
      </c>
      <c r="H9" s="7" t="s">
        <v>168</v>
      </c>
      <c r="I9" s="8" t="s">
        <v>199</v>
      </c>
      <c r="J9" s="7">
        <v>6</v>
      </c>
      <c r="K9" s="7"/>
    </row>
    <row r="10" spans="1:11" ht="15.75" thickBot="1" x14ac:dyDescent="0.3">
      <c r="A10" s="1"/>
      <c r="B10" s="11">
        <f t="shared" si="0"/>
        <v>8</v>
      </c>
      <c r="C10" s="13" t="s">
        <v>223</v>
      </c>
      <c r="D10" s="9" t="s">
        <v>14</v>
      </c>
      <c r="E10" s="10" t="s">
        <v>61</v>
      </c>
      <c r="F10" s="9" t="s">
        <v>103</v>
      </c>
      <c r="G10" s="10" t="s">
        <v>141</v>
      </c>
      <c r="H10" s="9" t="s">
        <v>166</v>
      </c>
      <c r="I10" s="10" t="s">
        <v>200</v>
      </c>
      <c r="J10" s="9">
        <v>1</v>
      </c>
      <c r="K10" s="9"/>
    </row>
    <row r="11" spans="1:11" ht="24.75" thickBot="1" x14ac:dyDescent="0.3">
      <c r="A11" s="1"/>
      <c r="B11" s="11">
        <f>ROW(B11) - ROW($B$2)</f>
        <v>9</v>
      </c>
      <c r="C11" s="13" t="s">
        <v>223</v>
      </c>
      <c r="D11" s="7" t="s">
        <v>15</v>
      </c>
      <c r="E11" s="8" t="s">
        <v>62</v>
      </c>
      <c r="F11" s="7" t="s">
        <v>103</v>
      </c>
      <c r="G11" s="8" t="s">
        <v>142</v>
      </c>
      <c r="H11" s="7" t="s">
        <v>166</v>
      </c>
      <c r="I11" s="8" t="s">
        <v>201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223</v>
      </c>
      <c r="D12" s="9" t="s">
        <v>16</v>
      </c>
      <c r="E12" s="10" t="s">
        <v>63</v>
      </c>
      <c r="F12" s="9" t="s">
        <v>103</v>
      </c>
      <c r="G12" s="10" t="s">
        <v>143</v>
      </c>
      <c r="H12" s="9" t="s">
        <v>166</v>
      </c>
      <c r="I12" s="10" t="s">
        <v>202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223</v>
      </c>
      <c r="D13" s="7" t="s">
        <v>17</v>
      </c>
      <c r="E13" s="8" t="s">
        <v>64</v>
      </c>
      <c r="F13" s="7" t="s">
        <v>103</v>
      </c>
      <c r="G13" s="8" t="s">
        <v>144</v>
      </c>
      <c r="H13" s="7" t="s">
        <v>168</v>
      </c>
      <c r="I13" s="8" t="s">
        <v>203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18</v>
      </c>
      <c r="E14" s="10" t="s">
        <v>65</v>
      </c>
      <c r="F14" s="9" t="s">
        <v>105</v>
      </c>
      <c r="G14" s="10" t="s">
        <v>145</v>
      </c>
      <c r="H14" s="9" t="s">
        <v>170</v>
      </c>
      <c r="I14" s="10" t="s">
        <v>222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224</v>
      </c>
      <c r="D15" s="7" t="s">
        <v>19</v>
      </c>
      <c r="E15" s="8" t="s">
        <v>66</v>
      </c>
      <c r="F15" s="7" t="s">
        <v>231</v>
      </c>
      <c r="G15" s="8" t="s">
        <v>106</v>
      </c>
      <c r="H15" s="7" t="s">
        <v>171</v>
      </c>
      <c r="I15" s="10" t="s">
        <v>222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224</v>
      </c>
      <c r="D16" s="9" t="s">
        <v>20</v>
      </c>
      <c r="E16" s="10" t="s">
        <v>67</v>
      </c>
      <c r="F16" s="7" t="s">
        <v>231</v>
      </c>
      <c r="G16" s="10" t="s">
        <v>107</v>
      </c>
      <c r="H16" s="9" t="s">
        <v>172</v>
      </c>
      <c r="I16" s="10" t="s">
        <v>222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224</v>
      </c>
      <c r="D17" s="7" t="s">
        <v>21</v>
      </c>
      <c r="E17" s="8" t="s">
        <v>68</v>
      </c>
      <c r="F17" s="7" t="s">
        <v>231</v>
      </c>
      <c r="G17" s="8" t="s">
        <v>108</v>
      </c>
      <c r="H17" s="7" t="s">
        <v>173</v>
      </c>
      <c r="I17" s="10" t="s">
        <v>222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224</v>
      </c>
      <c r="D18" s="9" t="s">
        <v>22</v>
      </c>
      <c r="E18" s="10" t="s">
        <v>69</v>
      </c>
      <c r="F18" s="9" t="s">
        <v>109</v>
      </c>
      <c r="G18" s="10">
        <v>61300811121</v>
      </c>
      <c r="H18" s="9" t="s">
        <v>174</v>
      </c>
      <c r="I18" s="10" t="s">
        <v>222</v>
      </c>
      <c r="J18" s="9">
        <v>1</v>
      </c>
      <c r="K18" s="9"/>
    </row>
    <row r="19" spans="1:11" ht="60.75" thickBot="1" x14ac:dyDescent="0.3">
      <c r="A19" s="1"/>
      <c r="B19" s="11">
        <f>ROW(B19) - ROW($B$2)</f>
        <v>17</v>
      </c>
      <c r="C19" s="12" t="s">
        <v>3</v>
      </c>
      <c r="D19" s="7" t="s">
        <v>23</v>
      </c>
      <c r="E19" s="8" t="s">
        <v>70</v>
      </c>
      <c r="F19" s="7" t="s">
        <v>231</v>
      </c>
      <c r="G19" s="8" t="s">
        <v>110</v>
      </c>
      <c r="H19" s="7" t="s">
        <v>175</v>
      </c>
      <c r="I19" s="10" t="s">
        <v>222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224</v>
      </c>
      <c r="D20" s="9" t="s">
        <v>24</v>
      </c>
      <c r="E20" s="10" t="s">
        <v>71</v>
      </c>
      <c r="F20" s="9" t="s">
        <v>111</v>
      </c>
      <c r="G20" s="10">
        <v>61300411121</v>
      </c>
      <c r="H20" s="9" t="s">
        <v>174</v>
      </c>
      <c r="I20" s="10" t="s">
        <v>222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4</v>
      </c>
      <c r="D21" s="7" t="s">
        <v>25</v>
      </c>
      <c r="E21" s="8" t="s">
        <v>72</v>
      </c>
      <c r="F21" s="7" t="s">
        <v>231</v>
      </c>
      <c r="G21" s="8" t="s">
        <v>112</v>
      </c>
      <c r="H21" s="7" t="s">
        <v>169</v>
      </c>
      <c r="I21" s="8" t="s">
        <v>204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2" t="s">
        <v>4</v>
      </c>
      <c r="D22" s="9" t="s">
        <v>26</v>
      </c>
      <c r="E22" s="10" t="s">
        <v>73</v>
      </c>
      <c r="F22" s="9" t="s">
        <v>113</v>
      </c>
      <c r="G22" s="10" t="s">
        <v>146</v>
      </c>
      <c r="H22" s="9" t="s">
        <v>176</v>
      </c>
      <c r="I22" s="10" t="s">
        <v>205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4</v>
      </c>
      <c r="D23" s="7" t="s">
        <v>27</v>
      </c>
      <c r="E23" s="8" t="s">
        <v>74</v>
      </c>
      <c r="F23" s="7" t="s">
        <v>114</v>
      </c>
      <c r="G23" s="8" t="s">
        <v>147</v>
      </c>
      <c r="H23" s="7" t="s">
        <v>177</v>
      </c>
      <c r="I23" s="8" t="s">
        <v>206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2" t="s">
        <v>4</v>
      </c>
      <c r="D24" s="9" t="s">
        <v>28</v>
      </c>
      <c r="E24" s="10" t="s">
        <v>75</v>
      </c>
      <c r="F24" s="9" t="s">
        <v>115</v>
      </c>
      <c r="G24" s="10" t="s">
        <v>148</v>
      </c>
      <c r="H24" s="9" t="s">
        <v>166</v>
      </c>
      <c r="I24" s="10" t="s">
        <v>207</v>
      </c>
      <c r="J24" s="9">
        <v>1</v>
      </c>
      <c r="K24" s="9"/>
    </row>
    <row r="25" spans="1:11" ht="36.75" thickBot="1" x14ac:dyDescent="0.3">
      <c r="A25" s="1"/>
      <c r="B25" s="11">
        <f>ROW(B25) - ROW($B$2)</f>
        <v>23</v>
      </c>
      <c r="C25" s="12" t="s">
        <v>4</v>
      </c>
      <c r="D25" s="7" t="s">
        <v>29</v>
      </c>
      <c r="E25" s="8" t="s">
        <v>76</v>
      </c>
      <c r="F25" s="7" t="s">
        <v>115</v>
      </c>
      <c r="G25" s="8" t="s">
        <v>149</v>
      </c>
      <c r="H25" s="7" t="s">
        <v>166</v>
      </c>
      <c r="I25" s="8" t="s">
        <v>222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2" t="s">
        <v>4</v>
      </c>
      <c r="D26" s="9" t="s">
        <v>30</v>
      </c>
      <c r="E26" s="10" t="s">
        <v>77</v>
      </c>
      <c r="F26" s="7" t="s">
        <v>231</v>
      </c>
      <c r="G26" s="10" t="s">
        <v>116</v>
      </c>
      <c r="H26" s="9" t="s">
        <v>178</v>
      </c>
      <c r="I26" s="10" t="s">
        <v>208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225</v>
      </c>
      <c r="D27" s="7" t="s">
        <v>31</v>
      </c>
      <c r="E27" s="8" t="s">
        <v>78</v>
      </c>
      <c r="F27" s="7" t="s">
        <v>117</v>
      </c>
      <c r="G27" s="8" t="s">
        <v>150</v>
      </c>
      <c r="H27" s="7" t="s">
        <v>179</v>
      </c>
      <c r="I27" s="8" t="s">
        <v>222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2" t="s">
        <v>225</v>
      </c>
      <c r="D28" s="9" t="s">
        <v>32</v>
      </c>
      <c r="E28" s="10" t="s">
        <v>79</v>
      </c>
      <c r="F28" s="9" t="s">
        <v>117</v>
      </c>
      <c r="G28" s="10" t="s">
        <v>151</v>
      </c>
      <c r="H28" s="9" t="s">
        <v>179</v>
      </c>
      <c r="I28" s="8" t="s">
        <v>222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5</v>
      </c>
      <c r="D29" s="7" t="s">
        <v>33</v>
      </c>
      <c r="E29" s="8" t="s">
        <v>80</v>
      </c>
      <c r="F29" s="7" t="s">
        <v>118</v>
      </c>
      <c r="G29" s="8" t="s">
        <v>230</v>
      </c>
      <c r="H29" s="7" t="s">
        <v>180</v>
      </c>
      <c r="I29" s="8" t="s">
        <v>209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5</v>
      </c>
      <c r="D30" s="9" t="s">
        <v>34</v>
      </c>
      <c r="E30" s="10" t="s">
        <v>81</v>
      </c>
      <c r="F30" s="9" t="s">
        <v>119</v>
      </c>
      <c r="G30" s="10" t="s">
        <v>152</v>
      </c>
      <c r="H30" s="9" t="s">
        <v>168</v>
      </c>
      <c r="I30" s="10" t="s">
        <v>210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5</v>
      </c>
      <c r="D31" s="14" t="s">
        <v>35</v>
      </c>
      <c r="E31" s="15" t="s">
        <v>82</v>
      </c>
      <c r="F31" s="14" t="s">
        <v>119</v>
      </c>
      <c r="G31" s="15" t="s">
        <v>153</v>
      </c>
      <c r="H31" s="14" t="s">
        <v>168</v>
      </c>
      <c r="I31" s="15" t="s">
        <v>211</v>
      </c>
      <c r="J31" s="14">
        <v>2</v>
      </c>
      <c r="K31" s="16" t="s">
        <v>229</v>
      </c>
    </row>
    <row r="32" spans="1:11" ht="15.75" thickBot="1" x14ac:dyDescent="0.3">
      <c r="A32" s="1"/>
      <c r="B32" s="11">
        <f t="shared" si="0"/>
        <v>30</v>
      </c>
      <c r="C32" s="13" t="s">
        <v>5</v>
      </c>
      <c r="D32" s="9" t="s">
        <v>36</v>
      </c>
      <c r="E32" s="10" t="s">
        <v>82</v>
      </c>
      <c r="F32" s="9" t="s">
        <v>119</v>
      </c>
      <c r="G32" s="10" t="s">
        <v>153</v>
      </c>
      <c r="H32" s="9" t="s">
        <v>168</v>
      </c>
      <c r="I32" s="10" t="s">
        <v>212</v>
      </c>
      <c r="J32" s="9">
        <v>6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5</v>
      </c>
      <c r="D33" s="7" t="s">
        <v>37</v>
      </c>
      <c r="E33" s="8" t="s">
        <v>83</v>
      </c>
      <c r="F33" s="7" t="s">
        <v>119</v>
      </c>
      <c r="G33" s="8" t="s">
        <v>154</v>
      </c>
      <c r="H33" s="7" t="s">
        <v>181</v>
      </c>
      <c r="I33" s="8" t="s">
        <v>213</v>
      </c>
      <c r="J33" s="7">
        <v>8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5</v>
      </c>
      <c r="D34" s="9" t="s">
        <v>38</v>
      </c>
      <c r="E34" s="10" t="s">
        <v>84</v>
      </c>
      <c r="F34" s="9" t="s">
        <v>119</v>
      </c>
      <c r="G34" s="10" t="s">
        <v>155</v>
      </c>
      <c r="H34" s="9" t="s">
        <v>181</v>
      </c>
      <c r="I34" s="10" t="s">
        <v>214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3" t="s">
        <v>5</v>
      </c>
      <c r="D35" s="7" t="s">
        <v>39</v>
      </c>
      <c r="E35" s="8" t="s">
        <v>85</v>
      </c>
      <c r="F35" s="7" t="s">
        <v>120</v>
      </c>
      <c r="G35" s="8" t="s">
        <v>156</v>
      </c>
      <c r="H35" s="7" t="s">
        <v>182</v>
      </c>
      <c r="I35" s="8" t="s">
        <v>215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5</v>
      </c>
      <c r="D36" s="9" t="s">
        <v>40</v>
      </c>
      <c r="E36" s="10" t="s">
        <v>86</v>
      </c>
      <c r="F36" s="9" t="s">
        <v>121</v>
      </c>
      <c r="G36" s="10" t="s">
        <v>153</v>
      </c>
      <c r="H36" s="9" t="s">
        <v>168</v>
      </c>
      <c r="I36" s="10" t="s">
        <v>212</v>
      </c>
      <c r="J36" s="9">
        <v>1</v>
      </c>
      <c r="K36" s="9"/>
    </row>
    <row r="37" spans="1:11" ht="24.75" thickBot="1" x14ac:dyDescent="0.3">
      <c r="A37" s="1"/>
      <c r="B37" s="11">
        <f>ROW(B37) - ROW($B$2)</f>
        <v>35</v>
      </c>
      <c r="C37" s="13" t="s">
        <v>5</v>
      </c>
      <c r="D37" s="14" t="s">
        <v>41</v>
      </c>
      <c r="E37" s="15" t="s">
        <v>87</v>
      </c>
      <c r="F37" s="14" t="s">
        <v>119</v>
      </c>
      <c r="G37" s="15" t="s">
        <v>157</v>
      </c>
      <c r="H37" s="14" t="s">
        <v>168</v>
      </c>
      <c r="I37" s="15" t="s">
        <v>211</v>
      </c>
      <c r="J37" s="14">
        <v>1</v>
      </c>
      <c r="K37" s="16" t="s">
        <v>229</v>
      </c>
    </row>
    <row r="38" spans="1:11" ht="15.75" thickBot="1" x14ac:dyDescent="0.3">
      <c r="A38" s="1"/>
      <c r="B38" s="11">
        <f t="shared" si="0"/>
        <v>36</v>
      </c>
      <c r="C38" s="13" t="s">
        <v>122</v>
      </c>
      <c r="D38" s="9" t="s">
        <v>42</v>
      </c>
      <c r="E38" s="10" t="s">
        <v>88</v>
      </c>
      <c r="F38" s="7" t="s">
        <v>231</v>
      </c>
      <c r="G38" s="10" t="s">
        <v>222</v>
      </c>
      <c r="H38" s="9" t="s">
        <v>222</v>
      </c>
      <c r="I38" s="10" t="s">
        <v>222</v>
      </c>
      <c r="J38" s="9">
        <v>3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226</v>
      </c>
      <c r="D39" s="7" t="s">
        <v>43</v>
      </c>
      <c r="E39" s="8" t="s">
        <v>89</v>
      </c>
      <c r="F39" s="7" t="s">
        <v>231</v>
      </c>
      <c r="G39" s="8" t="s">
        <v>123</v>
      </c>
      <c r="H39" s="7" t="s">
        <v>183</v>
      </c>
      <c r="I39" s="8" t="s">
        <v>222</v>
      </c>
      <c r="J39" s="7">
        <v>2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227</v>
      </c>
      <c r="D40" s="9" t="s">
        <v>44</v>
      </c>
      <c r="E40" s="10" t="s">
        <v>90</v>
      </c>
      <c r="F40" s="9" t="s">
        <v>124</v>
      </c>
      <c r="G40" s="10" t="s">
        <v>158</v>
      </c>
      <c r="H40" s="9" t="s">
        <v>184</v>
      </c>
      <c r="I40" s="10" t="s">
        <v>222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3" t="s">
        <v>227</v>
      </c>
      <c r="D41" s="14" t="s">
        <v>45</v>
      </c>
      <c r="E41" s="15" t="s">
        <v>91</v>
      </c>
      <c r="F41" s="14" t="s">
        <v>125</v>
      </c>
      <c r="G41" s="15" t="s">
        <v>159</v>
      </c>
      <c r="H41" s="14" t="s">
        <v>185</v>
      </c>
      <c r="I41" s="15" t="s">
        <v>211</v>
      </c>
      <c r="J41" s="14">
        <v>1</v>
      </c>
      <c r="K41" s="16" t="s">
        <v>229</v>
      </c>
    </row>
    <row r="42" spans="1:11" ht="24.75" thickBot="1" x14ac:dyDescent="0.3">
      <c r="A42" s="1"/>
      <c r="B42" s="11">
        <f t="shared" si="0"/>
        <v>40</v>
      </c>
      <c r="C42" s="13" t="s">
        <v>227</v>
      </c>
      <c r="D42" s="9" t="s">
        <v>46</v>
      </c>
      <c r="E42" s="10" t="s">
        <v>92</v>
      </c>
      <c r="F42" s="9" t="s">
        <v>126</v>
      </c>
      <c r="G42" s="10" t="s">
        <v>160</v>
      </c>
      <c r="H42" s="9" t="s">
        <v>186</v>
      </c>
      <c r="I42" s="10" t="s">
        <v>222</v>
      </c>
      <c r="J42" s="9">
        <v>1</v>
      </c>
      <c r="K42" s="9"/>
    </row>
    <row r="43" spans="1:11" ht="36.75" thickBot="1" x14ac:dyDescent="0.3">
      <c r="A43" s="1"/>
      <c r="B43" s="11">
        <f>ROW(B43) - ROW($B$2)</f>
        <v>41</v>
      </c>
      <c r="C43" s="13" t="s">
        <v>227</v>
      </c>
      <c r="D43" s="7" t="s">
        <v>47</v>
      </c>
      <c r="E43" s="8" t="s">
        <v>93</v>
      </c>
      <c r="F43" s="7" t="s">
        <v>127</v>
      </c>
      <c r="G43" s="8" t="s">
        <v>161</v>
      </c>
      <c r="H43" s="7" t="s">
        <v>187</v>
      </c>
      <c r="I43" s="10" t="s">
        <v>222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227</v>
      </c>
      <c r="D44" s="9" t="s">
        <v>48</v>
      </c>
      <c r="E44" s="10" t="s">
        <v>94</v>
      </c>
      <c r="F44" s="9" t="s">
        <v>128</v>
      </c>
      <c r="G44" s="10" t="s">
        <v>162</v>
      </c>
      <c r="H44" s="9" t="s">
        <v>188</v>
      </c>
      <c r="I44" s="10" t="s">
        <v>222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3" t="s">
        <v>227</v>
      </c>
      <c r="D45" s="7" t="s">
        <v>49</v>
      </c>
      <c r="E45" s="8" t="s">
        <v>95</v>
      </c>
      <c r="F45" s="7" t="s">
        <v>129</v>
      </c>
      <c r="G45" s="8" t="s">
        <v>163</v>
      </c>
      <c r="H45" s="7" t="s">
        <v>189</v>
      </c>
      <c r="I45" s="10" t="s">
        <v>222</v>
      </c>
      <c r="J45" s="7">
        <v>1</v>
      </c>
      <c r="K45" s="7"/>
    </row>
    <row r="46" spans="1:11" ht="48.75" thickBot="1" x14ac:dyDescent="0.3">
      <c r="A46" s="1"/>
      <c r="B46" s="11">
        <f t="shared" si="0"/>
        <v>44</v>
      </c>
      <c r="C46" s="13" t="s">
        <v>227</v>
      </c>
      <c r="D46" s="9" t="s">
        <v>50</v>
      </c>
      <c r="E46" s="10" t="s">
        <v>96</v>
      </c>
      <c r="F46" s="9" t="s">
        <v>130</v>
      </c>
      <c r="G46" s="10" t="s">
        <v>164</v>
      </c>
      <c r="H46" s="9" t="s">
        <v>190</v>
      </c>
      <c r="I46" s="10" t="s">
        <v>222</v>
      </c>
      <c r="J46" s="9">
        <v>1</v>
      </c>
      <c r="K46" s="9"/>
    </row>
    <row r="47" spans="1:11" ht="36.75" thickBot="1" x14ac:dyDescent="0.3">
      <c r="A47" s="1"/>
      <c r="B47" s="11">
        <f>ROW(B47) - ROW($B$2)</f>
        <v>45</v>
      </c>
      <c r="C47" s="12" t="s">
        <v>228</v>
      </c>
      <c r="D47" s="7" t="s">
        <v>51</v>
      </c>
      <c r="E47" s="8" t="s">
        <v>97</v>
      </c>
      <c r="F47" s="7" t="s">
        <v>231</v>
      </c>
      <c r="G47" s="8" t="s">
        <v>131</v>
      </c>
      <c r="H47" s="7" t="s">
        <v>191</v>
      </c>
      <c r="I47" s="8" t="s">
        <v>216</v>
      </c>
      <c r="J47" s="7">
        <v>2</v>
      </c>
      <c r="K47" s="7"/>
    </row>
    <row r="48" spans="1:11" ht="36.75" thickBot="1" x14ac:dyDescent="0.3">
      <c r="A48" s="1"/>
      <c r="B48" s="11">
        <f t="shared" si="0"/>
        <v>46</v>
      </c>
      <c r="C48" s="12" t="s">
        <v>228</v>
      </c>
      <c r="D48" s="9" t="s">
        <v>52</v>
      </c>
      <c r="E48" s="10" t="s">
        <v>98</v>
      </c>
      <c r="F48" s="7" t="s">
        <v>231</v>
      </c>
      <c r="G48" s="10" t="s">
        <v>132</v>
      </c>
      <c r="H48" s="9" t="s">
        <v>191</v>
      </c>
      <c r="I48" s="10" t="s">
        <v>217</v>
      </c>
      <c r="J48" s="9">
        <v>1</v>
      </c>
      <c r="K48" s="9"/>
    </row>
    <row r="49" spans="1:11" ht="36.75" thickBot="1" x14ac:dyDescent="0.3">
      <c r="A49" s="1"/>
      <c r="B49" s="11">
        <f>ROW(B49) - ROW($B$2)</f>
        <v>47</v>
      </c>
      <c r="C49" s="12" t="s">
        <v>228</v>
      </c>
      <c r="D49" s="7" t="s">
        <v>53</v>
      </c>
      <c r="E49" s="8" t="s">
        <v>99</v>
      </c>
      <c r="F49" s="7" t="s">
        <v>231</v>
      </c>
      <c r="G49" s="8" t="s">
        <v>133</v>
      </c>
      <c r="H49" s="7" t="s">
        <v>192</v>
      </c>
      <c r="I49" s="8" t="s">
        <v>218</v>
      </c>
      <c r="J49" s="7">
        <v>1</v>
      </c>
      <c r="K49" s="7"/>
    </row>
    <row r="50" spans="1:11" ht="36.75" thickBot="1" x14ac:dyDescent="0.3">
      <c r="B50" s="11">
        <f>ROW(B50) - ROW($B$2)</f>
        <v>48</v>
      </c>
      <c r="C50" s="12" t="s">
        <v>232</v>
      </c>
      <c r="D50" s="7" t="s">
        <v>222</v>
      </c>
      <c r="E50" s="8" t="s">
        <v>234</v>
      </c>
      <c r="F50" s="7" t="s">
        <v>231</v>
      </c>
      <c r="G50" s="8" t="s">
        <v>233</v>
      </c>
      <c r="H50" s="7" t="s">
        <v>235</v>
      </c>
      <c r="I50" s="8" t="s">
        <v>222</v>
      </c>
      <c r="J50" s="7">
        <v>5</v>
      </c>
      <c r="K50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2025-02-11T14:10:04Z</dcterms:modified>
</cp:coreProperties>
</file>