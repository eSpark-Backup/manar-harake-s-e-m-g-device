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sign-Files\ArmBand-Sensor-Board\Project Outputs for ArmBand-Sensor-Board\"/>
    </mc:Choice>
  </mc:AlternateContent>
  <xr:revisionPtr revIDLastSave="0" documentId="8_{1DB93CFE-AF8D-41AE-83F2-DC55F4564E07}" xr6:coauthVersionLast="47" xr6:coauthVersionMax="47" xr10:uidLastSave="{00000000-0000-0000-0000-000000000000}"/>
  <bookViews>
    <workbookView xWindow="1950" yWindow="24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24" i="1"/>
  <c r="B10" i="1"/>
</calcChain>
</file>

<file path=xl/sharedStrings.xml><?xml version="1.0" encoding="utf-8"?>
<sst xmlns="http://schemas.openxmlformats.org/spreadsheetml/2006/main" count="112" uniqueCount="96">
  <si>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</si>
  <si>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</si>
  <si>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</si>
  <si>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</si>
  <si>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</si>
  <si>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</si>
  <si>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</si>
  <si>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</si>
  <si>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</si>
  <si>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</si>
  <si>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93</t>
  </si>
  <si>
    <t>Designator</t>
  </si>
  <si>
    <t>C1, C22, C46, C48, C50, C54, C56, C58, C60, C65, C66, C67, C68, C73, C74, C75, C76</t>
  </si>
  <si>
    <t>C16, C45, C47, C49, C53, C55, C57, C59</t>
  </si>
  <si>
    <t>C51, C52</t>
  </si>
  <si>
    <t>C61, C62, C63, C64, C69, C70, C71, C72</t>
  </si>
  <si>
    <t>J1</t>
  </si>
  <si>
    <t>J2</t>
  </si>
  <si>
    <t>P1, P2, P3, P4, P5, P6, P7, P8, P9, P10, P11, P12, P13, P14, P15, P16, P17, P18, P19</t>
  </si>
  <si>
    <t>R17, R18, R19, R20, R21, R22, R23, R24</t>
  </si>
  <si>
    <t>R25, R26</t>
  </si>
  <si>
    <t>R27, R28, R29, R30, R35, R36, R37, R38</t>
  </si>
  <si>
    <t>R31, R32, R33, R34, R39, R40, R41, R42</t>
  </si>
  <si>
    <t>U8, U9, U10, U11, U12, U13, U14, U15</t>
  </si>
  <si>
    <t>U16</t>
  </si>
  <si>
    <t>U17, U18</t>
  </si>
  <si>
    <t>Description</t>
  </si>
  <si>
    <t>CAP CER 0.1UF 50V X7R 0402</t>
  </si>
  <si>
    <t>CAP CER 10UF 25V X5R 0603</t>
  </si>
  <si>
    <t>CAP CER 1UF 16V X5R 0402</t>
  </si>
  <si>
    <t>Cap Ceramic 0.022uF 25V X7R 10% Pad SMD 0402</t>
  </si>
  <si>
    <t>CONN FFC BOTTOM 24POS 0.50MM R/A</t>
  </si>
  <si>
    <t>CONN FPC/FFC 12POS .5MM</t>
  </si>
  <si>
    <t>Test Point ON</t>
  </si>
  <si>
    <t>RES SMD 0402 240 Ohm 1% 1/16W ±100ppm/°C Molded SMD Paper T/R</t>
  </si>
  <si>
    <t>1/10W Thin Film Resistor 75V ±0.5% ±25ppm/℃ -55℃~+155℃ 64kΩ 0603 Chip Resistor - Surface Mount ROHS</t>
  </si>
  <si>
    <t>Res Thick Film 0402 6.8K Ohm 5% 0.063W(1/16W) ±100ppm/C Pad SMD T/R</t>
  </si>
  <si>
    <t>RES SMD 0402 150kOhm 5% Paper T/R</t>
  </si>
  <si>
    <t>IC OPAMP INSTR 825KHZ 8SOIC</t>
  </si>
  <si>
    <t>SOT-23-5 Operational Amplifier ROHS</t>
  </si>
  <si>
    <t>IC OPAMP GP 1.3MHZ 14SO</t>
  </si>
  <si>
    <t>Footprint</t>
  </si>
  <si>
    <t>Cap 0402</t>
  </si>
  <si>
    <t>Cap0603</t>
  </si>
  <si>
    <t>FH12-24S-0.5SH(55)</t>
  </si>
  <si>
    <t>FH34SRJ-12S-0.5SH(50)</t>
  </si>
  <si>
    <t>TEST POINT</t>
  </si>
  <si>
    <t>Res0402</t>
  </si>
  <si>
    <t>Res0603</t>
  </si>
  <si>
    <t>SOIC-8</t>
  </si>
  <si>
    <t>SOT-23-5</t>
  </si>
  <si>
    <t>SO-14</t>
  </si>
  <si>
    <t>Manufacturer Part Number</t>
  </si>
  <si>
    <t>GRM155R71H104ME14D</t>
  </si>
  <si>
    <t>CL10A106MA8NRNC</t>
  </si>
  <si>
    <t>CC0402KRX5R7BB105</t>
  </si>
  <si>
    <t>CGA2B2X7R1E223K050BA</t>
  </si>
  <si>
    <t>RC0402FR-07240RL</t>
  </si>
  <si>
    <t>RC0402JR-076K8L</t>
  </si>
  <si>
    <t>RC0402JR-07150KL</t>
  </si>
  <si>
    <t>AD8221ARZ-R7</t>
  </si>
  <si>
    <t>TPMCP6021T-E/OT</t>
  </si>
  <si>
    <t>LM324DT</t>
  </si>
  <si>
    <t>Manufacturer</t>
  </si>
  <si>
    <t>Murata</t>
  </si>
  <si>
    <t>Samsung</t>
  </si>
  <si>
    <t>Yageo</t>
  </si>
  <si>
    <t>TDK</t>
  </si>
  <si>
    <t>Hirose</t>
  </si>
  <si>
    <t>iking Tech</t>
  </si>
  <si>
    <t>Analog Devices</t>
  </si>
  <si>
    <t>TECH PUBLIC</t>
  </si>
  <si>
    <t>STMicroelectronics</t>
  </si>
  <si>
    <t>Comment</t>
  </si>
  <si>
    <t>0.1uF</t>
  </si>
  <si>
    <t>10uF'</t>
  </si>
  <si>
    <t>1uF</t>
  </si>
  <si>
    <t>22nF</t>
  </si>
  <si>
    <t>Test Point</t>
  </si>
  <si>
    <t>240R</t>
  </si>
  <si>
    <t>64K</t>
  </si>
  <si>
    <t>6K8</t>
  </si>
  <si>
    <t>150K</t>
  </si>
  <si>
    <t>ComponentLink1URL</t>
  </si>
  <si>
    <t>http://search.murata.co.jp/Ceramy/image/img/A01X/G101/ENG/GRM155R71H104ME14-01.pdf?src-supplier=Digi-Key</t>
  </si>
  <si>
    <t>https://datasheet.ciiva.com/25766/cl10a106ma8nrnc-25766562.pdf?src-supplier=Digi-Key</t>
  </si>
  <si>
    <t>http://www.yageo.com/documents/recent/UPY-GPHC_X5R_4V-to-50V_12.pdf?src-supplier=Avnet+Europe</t>
  </si>
  <si>
    <t>https://datasheet.ciiva.com/24220/cga2b2x7r1e223k050ba-265693-24220032.pdf?src-supplier=Mouser</t>
  </si>
  <si>
    <t>https://datasheet.ciiva.com/15176/getdatasheetpartid-439675-15176853.pdf?src-supplier=Verical</t>
  </si>
  <si>
    <t>https://www.hirose.com/product/en/download_file/key_name/FH34SRJ/category/Catalog/doc_file_id/31646/?file_category_id=4&amp;item_id=27&amp;is_series=1&amp;src-supplier=Digi-Key</t>
  </si>
  <si>
    <t>https://datasheet.ciiva.com/7849/1018594-7849915.pdf?src-supplier=Element14</t>
  </si>
  <si>
    <t>https://datasheet.ciiva.com/22643/1018594-22643413.pdf?src-supplier=Element14</t>
  </si>
  <si>
    <t>https://datasheet.ciiva.com/7983/1018594-7983551.pdf?src-supplier=Element14</t>
  </si>
  <si>
    <t>https://datasheet.ciiva.com/15128/getdatasheetpartid-313520-15128733.pdf?src-supplier=Verical</t>
  </si>
  <si>
    <t>https://datasheet.ciiva.com/4758/cd00000457-103203-4758032.pdf?src-supplier=Mouser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</si>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</sst>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4" xfId="0" applyFont="1" applyFill="1" applyBorder="1" applyAlignment="1">
      <alignment vertical="center"/>
    </xf>
    <xf numFmtId="0" fontId="7" fillId="3" borderId="13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0" fillId="3" borderId="5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5" fillId="3" borderId="13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164" fontId="13" fillId="3" borderId="5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13" fillId="3" borderId="17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1" fillId="3" borderId="0" xfId="0" applyNumberFormat="1" applyFont="1" applyFill="1" applyBorder="1" applyAlignment="1" applyProtection="1">
      <alignment vertical="center"/>
      <protection locked="0"/>
    </xf>
    <xf numFmtId="0" fontId="12" fillId="3" borderId="0" xfId="0" applyNumberFormat="1" applyFont="1" applyFill="1" applyBorder="1" applyAlignment="1" applyProtection="1">
      <alignment horizontal="left" vertical="center"/>
      <protection locked="0"/>
    </xf>
    <xf numFmtId="0" fontId="11" fillId="3" borderId="8" xfId="0" applyNumberFormat="1" applyFont="1" applyFill="1" applyBorder="1" applyAlignment="1" applyProtection="1">
      <alignment horizontal="center" vertical="center"/>
      <protection locked="0"/>
    </xf>
    <xf numFmtId="0" fontId="11" fillId="5" borderId="1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/>
    </xf>
    <xf numFmtId="0" fontId="12" fillId="4" borderId="7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/>
    </xf>
    <xf numFmtId="0" fontId="17" fillId="3" borderId="0" xfId="0" applyFont="1" applyFill="1" applyBorder="1" applyAlignment="1">
      <alignment vertical="center"/>
    </xf>
    <xf numFmtId="0" fontId="17" fillId="3" borderId="0" xfId="0" applyFont="1" applyFill="1" applyBorder="1"/>
    <xf numFmtId="0" fontId="17" fillId="3" borderId="18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15" fillId="3" borderId="13" xfId="0" quotePrefix="1" applyFont="1" applyFill="1" applyBorder="1" applyAlignment="1">
      <alignment vertical="center"/>
    </xf>
    <xf numFmtId="0" fontId="15" fillId="3" borderId="0" xfId="0" quotePrefix="1" applyFont="1" applyFill="1" applyBorder="1" applyAlignment="1">
      <alignment horizontal="left"/>
    </xf>
    <xf numFmtId="0" fontId="15" fillId="3" borderId="6" xfId="0" quotePrefix="1" applyFont="1" applyFill="1" applyBorder="1" applyAlignment="1">
      <alignment horizontal="left"/>
    </xf>
    <xf numFmtId="0" fontId="15" fillId="3" borderId="5" xfId="0" quotePrefix="1" applyFont="1" applyFill="1" applyBorder="1" applyAlignment="1">
      <alignment horizontal="left"/>
    </xf>
    <xf numFmtId="0" fontId="11" fillId="3" borderId="19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9525</xdr:colOff>
      <xdr:row>2</xdr:row>
      <xdr:rowOff>10417</xdr:rowOff>
    </xdr:from>
    <xdr:to>
      <xdr:col>9</xdr:col>
      <xdr:colOff>1724025</xdr:colOff>
      <xdr:row>7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315950" y="60096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6"/>
  <sheetViews>
    <sheetView tabSelected="1" workbookViewId="0">
      <selection activeCell="I21" sqref="I21"/>
    </sheetView>
  </sheetViews>
  <sheetFormatPr defaultRowHeight="15" x14ac:dyDescent="0.25"/>
  <cols>
    <col min="2" max="2" width="3.140625" style="29" customWidth="1"/>
    <col min="3" max="3" width="36" bestFit="1" customWidth="1"/>
    <col min="4" max="4" width="18.85546875" bestFit="1" customWidth="1"/>
    <col min="5" max="5" width="26.5703125" bestFit="1" customWidth="1"/>
    <col min="6" max="6" width="29.42578125" bestFit="1" customWidth="1"/>
    <col min="7" max="7" width="18.85546875" bestFit="1" customWidth="1"/>
    <col min="8" max="8" width="29.42578125" bestFit="1" customWidth="1"/>
    <col min="9" max="9" width="29.42578125" customWidth="1"/>
    <col min="10" max="10" width="26.85546875" bestFit="1" customWidth="1"/>
  </cols>
  <sheetData>
    <row r="1" spans="1:10" ht="15.75" thickBot="1" x14ac:dyDescent="0.3">
      <c r="A1" s="1"/>
      <c r="B1" s="22"/>
      <c r="C1" s="2"/>
      <c r="D1" s="2"/>
      <c r="E1" s="2"/>
      <c r="F1" s="2"/>
      <c r="G1" s="2"/>
      <c r="H1" s="44"/>
      <c r="I1" s="44"/>
      <c r="J1" s="45"/>
    </row>
    <row r="2" spans="1:10" ht="32.25" thickBot="1" x14ac:dyDescent="0.3">
      <c r="A2" s="1"/>
      <c r="B2" s="23"/>
      <c r="C2" s="12" t="s">
        <v>0</v>
      </c>
      <c r="D2" s="12"/>
      <c r="E2" s="48" t="s">
        <v>7</v>
      </c>
      <c r="F2" s="13"/>
      <c r="G2" s="4"/>
      <c r="H2" s="4"/>
      <c r="I2" s="4"/>
      <c r="J2" s="3"/>
    </row>
    <row r="3" spans="1:10" ht="15.75" x14ac:dyDescent="0.25">
      <c r="A3" s="1"/>
      <c r="B3" s="24"/>
      <c r="C3" s="14" t="s">
        <v>1</v>
      </c>
      <c r="D3" s="14"/>
      <c r="E3" s="49" t="s">
        <v>8</v>
      </c>
      <c r="F3" s="14"/>
      <c r="G3" s="5"/>
      <c r="H3" s="5"/>
      <c r="I3" s="6"/>
      <c r="J3" s="46"/>
    </row>
    <row r="4" spans="1:10" ht="15.75" x14ac:dyDescent="0.25">
      <c r="A4" s="1"/>
      <c r="B4" s="24"/>
      <c r="C4" s="14" t="s">
        <v>2</v>
      </c>
      <c r="D4" s="14"/>
      <c r="E4" s="50" t="s">
        <v>8</v>
      </c>
      <c r="F4" s="15"/>
      <c r="G4" s="7"/>
      <c r="H4" s="7"/>
      <c r="I4" s="6"/>
      <c r="J4" s="47"/>
    </row>
    <row r="5" spans="1:10" ht="15.75" x14ac:dyDescent="0.25">
      <c r="A5" s="1"/>
      <c r="B5" s="24"/>
      <c r="C5" s="14" t="s">
        <v>3</v>
      </c>
      <c r="D5" s="14"/>
      <c r="E5" s="51" t="s">
        <v>9</v>
      </c>
      <c r="F5" s="16"/>
      <c r="G5" s="6"/>
      <c r="H5" s="6"/>
      <c r="I5" s="6"/>
      <c r="J5" s="47"/>
    </row>
    <row r="6" spans="1:10" x14ac:dyDescent="0.25">
      <c r="A6" s="1"/>
      <c r="B6" s="25"/>
      <c r="C6" s="17"/>
      <c r="D6" s="17"/>
      <c r="E6" s="18"/>
      <c r="F6" s="16"/>
      <c r="G6" s="6"/>
      <c r="H6" s="6"/>
      <c r="I6" s="6"/>
      <c r="J6" s="47"/>
    </row>
    <row r="7" spans="1:10" x14ac:dyDescent="0.25">
      <c r="A7" s="1"/>
      <c r="B7" s="26"/>
      <c r="C7" s="19"/>
      <c r="D7" s="19"/>
      <c r="E7" s="20"/>
      <c r="F7" s="19"/>
      <c r="G7" s="8"/>
      <c r="H7" s="8"/>
      <c r="I7" s="8"/>
      <c r="J7" s="47"/>
    </row>
    <row r="8" spans="1:10" x14ac:dyDescent="0.25">
      <c r="A8" s="1"/>
      <c r="B8" s="27"/>
      <c r="C8" s="16"/>
      <c r="D8" s="16"/>
      <c r="E8" s="21"/>
      <c r="F8" s="19"/>
      <c r="G8" s="8"/>
      <c r="H8" s="9"/>
      <c r="I8" s="8"/>
      <c r="J8" s="47"/>
    </row>
    <row r="9" spans="1:10" x14ac:dyDescent="0.25">
      <c r="A9" s="1"/>
      <c r="B9" s="33" t="s">
        <v>4</v>
      </c>
      <c r="C9" s="34" t="s">
        <v>11</v>
      </c>
      <c r="D9" s="34" t="s">
        <v>26</v>
      </c>
      <c r="E9" s="34" t="s">
        <v>41</v>
      </c>
      <c r="F9" s="34" t="s">
        <v>52</v>
      </c>
      <c r="G9" s="34" t="s">
        <v>63</v>
      </c>
      <c r="H9" s="34" t="s">
        <v>73</v>
      </c>
      <c r="I9" s="34" t="s">
        <v>83</v>
      </c>
      <c r="J9" s="35" t="s">
        <v>95</v>
      </c>
    </row>
    <row r="10" spans="1:10" ht="51" x14ac:dyDescent="0.25">
      <c r="A10" s="1"/>
      <c r="B10" s="36">
        <f>ROW(B10) - ROW($B$9)</f>
        <v>1</v>
      </c>
      <c r="C10" s="37" t="s">
        <v>12</v>
      </c>
      <c r="D10" s="37" t="s">
        <v>27</v>
      </c>
      <c r="E10" s="37" t="s">
        <v>42</v>
      </c>
      <c r="F10" s="37" t="s">
        <v>53</v>
      </c>
      <c r="G10" s="37" t="s">
        <v>64</v>
      </c>
      <c r="H10" s="37" t="s">
        <v>74</v>
      </c>
      <c r="I10" s="37" t="s">
        <v>84</v>
      </c>
      <c r="J10" s="38">
        <v>17</v>
      </c>
    </row>
    <row r="11" spans="1:10" ht="51" x14ac:dyDescent="0.25">
      <c r="A11" s="1"/>
      <c r="B11" s="36">
        <f t="shared" ref="B11:B24" si="0">ROW(B11) - ROW($B$9)</f>
        <v>2</v>
      </c>
      <c r="C11" s="39" t="s">
        <v>13</v>
      </c>
      <c r="D11" s="39" t="s">
        <v>28</v>
      </c>
      <c r="E11" s="39" t="s">
        <v>43</v>
      </c>
      <c r="F11" s="39" t="s">
        <v>54</v>
      </c>
      <c r="G11" s="39" t="s">
        <v>65</v>
      </c>
      <c r="H11" s="39" t="s">
        <v>75</v>
      </c>
      <c r="I11" s="39" t="s">
        <v>85</v>
      </c>
      <c r="J11" s="40">
        <v>8</v>
      </c>
    </row>
    <row r="12" spans="1:10" ht="51" x14ac:dyDescent="0.25">
      <c r="A12" s="1"/>
      <c r="B12" s="36">
        <f>ROW(B12) - ROW($B$9)</f>
        <v>3</v>
      </c>
      <c r="C12" s="37" t="s">
        <v>14</v>
      </c>
      <c r="D12" s="37" t="s">
        <v>29</v>
      </c>
      <c r="E12" s="37" t="s">
        <v>42</v>
      </c>
      <c r="F12" s="37" t="s">
        <v>55</v>
      </c>
      <c r="G12" s="37" t="s">
        <v>66</v>
      </c>
      <c r="H12" s="37" t="s">
        <v>76</v>
      </c>
      <c r="I12" s="37" t="s">
        <v>86</v>
      </c>
      <c r="J12" s="38">
        <v>2</v>
      </c>
    </row>
    <row r="13" spans="1:10" ht="51" x14ac:dyDescent="0.25">
      <c r="A13" s="1"/>
      <c r="B13" s="36">
        <f t="shared" si="0"/>
        <v>4</v>
      </c>
      <c r="C13" s="39" t="s">
        <v>15</v>
      </c>
      <c r="D13" s="39" t="s">
        <v>30</v>
      </c>
      <c r="E13" s="39" t="s">
        <v>42</v>
      </c>
      <c r="F13" s="39" t="s">
        <v>56</v>
      </c>
      <c r="G13" s="39" t="s">
        <v>67</v>
      </c>
      <c r="H13" s="39" t="s">
        <v>77</v>
      </c>
      <c r="I13" s="39" t="s">
        <v>87</v>
      </c>
      <c r="J13" s="40">
        <v>8</v>
      </c>
    </row>
    <row r="14" spans="1:10" ht="38.25" x14ac:dyDescent="0.25">
      <c r="A14" s="1"/>
      <c r="B14" s="36">
        <f>ROW(B14) - ROW($B$9)</f>
        <v>5</v>
      </c>
      <c r="C14" s="37" t="s">
        <v>16</v>
      </c>
      <c r="D14" s="37" t="s">
        <v>31</v>
      </c>
      <c r="E14" s="37" t="s">
        <v>44</v>
      </c>
      <c r="F14" s="37" t="s">
        <v>44</v>
      </c>
      <c r="G14" s="37" t="s">
        <v>68</v>
      </c>
      <c r="H14" s="37" t="s">
        <v>44</v>
      </c>
      <c r="I14" s="37" t="s">
        <v>88</v>
      </c>
      <c r="J14" s="38">
        <v>1</v>
      </c>
    </row>
    <row r="15" spans="1:10" ht="76.5" x14ac:dyDescent="0.25">
      <c r="A15" s="1"/>
      <c r="B15" s="36">
        <f t="shared" si="0"/>
        <v>6</v>
      </c>
      <c r="C15" s="39" t="s">
        <v>17</v>
      </c>
      <c r="D15" s="39" t="s">
        <v>32</v>
      </c>
      <c r="E15" s="39" t="s">
        <v>45</v>
      </c>
      <c r="F15" s="39" t="s">
        <v>45</v>
      </c>
      <c r="G15" s="39" t="s">
        <v>68</v>
      </c>
      <c r="H15" s="39" t="s">
        <v>45</v>
      </c>
      <c r="I15" s="39" t="s">
        <v>89</v>
      </c>
      <c r="J15" s="40">
        <v>1</v>
      </c>
    </row>
    <row r="16" spans="1:10" ht="25.5" x14ac:dyDescent="0.25">
      <c r="A16" s="1"/>
      <c r="B16" s="36">
        <f>ROW(B16) - ROW($B$9)</f>
        <v>7</v>
      </c>
      <c r="C16" s="37" t="s">
        <v>18</v>
      </c>
      <c r="D16" s="37" t="s">
        <v>33</v>
      </c>
      <c r="E16" s="37" t="s">
        <v>46</v>
      </c>
      <c r="F16" s="37"/>
      <c r="G16" s="37"/>
      <c r="H16" s="37" t="s">
        <v>78</v>
      </c>
      <c r="I16" s="37"/>
      <c r="J16" s="38">
        <v>19</v>
      </c>
    </row>
    <row r="17" spans="1:10" ht="51" x14ac:dyDescent="0.25">
      <c r="A17" s="1"/>
      <c r="B17" s="36">
        <f t="shared" si="0"/>
        <v>8</v>
      </c>
      <c r="C17" s="39" t="s">
        <v>19</v>
      </c>
      <c r="D17" s="39" t="s">
        <v>34</v>
      </c>
      <c r="E17" s="39" t="s">
        <v>47</v>
      </c>
      <c r="F17" s="39" t="s">
        <v>57</v>
      </c>
      <c r="G17" s="39" t="s">
        <v>66</v>
      </c>
      <c r="H17" s="39" t="s">
        <v>79</v>
      </c>
      <c r="I17" s="39" t="s">
        <v>90</v>
      </c>
      <c r="J17" s="40">
        <v>8</v>
      </c>
    </row>
    <row r="18" spans="1:10" ht="76.5" x14ac:dyDescent="0.25">
      <c r="A18" s="1"/>
      <c r="B18" s="36">
        <f>ROW(B18) - ROW($B$9)</f>
        <v>9</v>
      </c>
      <c r="C18" s="37" t="s">
        <v>20</v>
      </c>
      <c r="D18" s="37" t="s">
        <v>35</v>
      </c>
      <c r="E18" s="37" t="s">
        <v>48</v>
      </c>
      <c r="F18" s="37"/>
      <c r="G18" s="37" t="s">
        <v>69</v>
      </c>
      <c r="H18" s="37" t="s">
        <v>80</v>
      </c>
      <c r="I18" s="37"/>
      <c r="J18" s="38">
        <v>2</v>
      </c>
    </row>
    <row r="19" spans="1:10" ht="63.75" x14ac:dyDescent="0.25">
      <c r="A19" s="1"/>
      <c r="B19" s="36">
        <f t="shared" si="0"/>
        <v>10</v>
      </c>
      <c r="C19" s="39" t="s">
        <v>21</v>
      </c>
      <c r="D19" s="39" t="s">
        <v>36</v>
      </c>
      <c r="E19" s="39" t="s">
        <v>47</v>
      </c>
      <c r="F19" s="39" t="s">
        <v>58</v>
      </c>
      <c r="G19" s="39" t="s">
        <v>66</v>
      </c>
      <c r="H19" s="39" t="s">
        <v>81</v>
      </c>
      <c r="I19" s="39" t="s">
        <v>91</v>
      </c>
      <c r="J19" s="40">
        <v>8</v>
      </c>
    </row>
    <row r="20" spans="1:10" ht="38.25" x14ac:dyDescent="0.25">
      <c r="A20" s="1"/>
      <c r="B20" s="36">
        <f>ROW(B20) - ROW($B$9)</f>
        <v>11</v>
      </c>
      <c r="C20" s="37" t="s">
        <v>22</v>
      </c>
      <c r="D20" s="37" t="s">
        <v>37</v>
      </c>
      <c r="E20" s="37" t="s">
        <v>47</v>
      </c>
      <c r="F20" s="37" t="s">
        <v>59</v>
      </c>
      <c r="G20" s="37" t="s">
        <v>66</v>
      </c>
      <c r="H20" s="37" t="s">
        <v>82</v>
      </c>
      <c r="I20" s="37" t="s">
        <v>92</v>
      </c>
      <c r="J20" s="38">
        <v>8</v>
      </c>
    </row>
    <row r="21" spans="1:10" ht="38.25" x14ac:dyDescent="0.25">
      <c r="A21" s="1"/>
      <c r="B21" s="36">
        <f t="shared" si="0"/>
        <v>12</v>
      </c>
      <c r="C21" s="39" t="s">
        <v>23</v>
      </c>
      <c r="D21" s="39" t="s">
        <v>38</v>
      </c>
      <c r="E21" s="39" t="s">
        <v>49</v>
      </c>
      <c r="F21" s="39" t="s">
        <v>60</v>
      </c>
      <c r="G21" s="39" t="s">
        <v>70</v>
      </c>
      <c r="H21" s="39" t="s">
        <v>60</v>
      </c>
      <c r="I21" s="39" t="s">
        <v>93</v>
      </c>
      <c r="J21" s="40">
        <v>8</v>
      </c>
    </row>
    <row r="22" spans="1:10" ht="25.5" x14ac:dyDescent="0.25">
      <c r="A22" s="1"/>
      <c r="B22" s="36">
        <f>ROW(B22) - ROW($B$9)</f>
        <v>13</v>
      </c>
      <c r="C22" s="37" t="s">
        <v>24</v>
      </c>
      <c r="D22" s="37" t="s">
        <v>39</v>
      </c>
      <c r="E22" s="37" t="s">
        <v>50</v>
      </c>
      <c r="F22" s="37" t="s">
        <v>61</v>
      </c>
      <c r="G22" s="37" t="s">
        <v>71</v>
      </c>
      <c r="H22" s="37" t="s">
        <v>61</v>
      </c>
      <c r="I22" s="37"/>
      <c r="J22" s="38">
        <v>1</v>
      </c>
    </row>
    <row r="23" spans="1:10" ht="38.25" x14ac:dyDescent="0.25">
      <c r="A23" s="1"/>
      <c r="B23" s="36">
        <f t="shared" si="0"/>
        <v>14</v>
      </c>
      <c r="C23" s="39" t="s">
        <v>25</v>
      </c>
      <c r="D23" s="39" t="s">
        <v>40</v>
      </c>
      <c r="E23" s="39" t="s">
        <v>51</v>
      </c>
      <c r="F23" s="39" t="s">
        <v>62</v>
      </c>
      <c r="G23" s="39" t="s">
        <v>72</v>
      </c>
      <c r="H23" s="39" t="s">
        <v>62</v>
      </c>
      <c r="I23" s="39" t="s">
        <v>94</v>
      </c>
      <c r="J23" s="40">
        <v>2</v>
      </c>
    </row>
    <row r="24" spans="1:10" x14ac:dyDescent="0.25">
      <c r="A24" s="1"/>
      <c r="B24" s="36">
        <f t="shared" si="0"/>
        <v>15</v>
      </c>
      <c r="C24" s="39"/>
      <c r="D24" s="39"/>
      <c r="E24" s="39"/>
      <c r="F24" s="39"/>
      <c r="G24" s="39"/>
      <c r="H24" s="39"/>
      <c r="I24" s="39"/>
      <c r="J24" s="40"/>
    </row>
    <row r="25" spans="1:10" x14ac:dyDescent="0.25">
      <c r="A25" s="1"/>
      <c r="B25" s="32"/>
      <c r="C25" s="30" t="s">
        <v>5</v>
      </c>
      <c r="D25" s="31"/>
      <c r="E25" s="41"/>
      <c r="F25" s="42"/>
      <c r="G25" s="41"/>
      <c r="H25" s="42"/>
      <c r="I25" s="42"/>
      <c r="J25" s="52" t="s">
        <v>10</v>
      </c>
    </row>
    <row r="26" spans="1:10" ht="15.75" thickBot="1" x14ac:dyDescent="0.3">
      <c r="A26" s="1"/>
      <c r="B26" s="28"/>
      <c r="C26" s="10" t="s">
        <v>6</v>
      </c>
      <c r="D26" s="11"/>
      <c r="E26" s="11"/>
      <c r="F26" s="11"/>
      <c r="G26" s="11"/>
      <c r="H26" s="11"/>
      <c r="I26" s="11"/>
      <c r="J26" s="43"/>
    </row>
  </sheetData>
  <mergeCells count="2">
    <mergeCell ref="H1:J1"/>
    <mergeCell ref="J3:J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2022-06-16T07:27:41Z</dcterms:modified>
</cp:coreProperties>
</file>