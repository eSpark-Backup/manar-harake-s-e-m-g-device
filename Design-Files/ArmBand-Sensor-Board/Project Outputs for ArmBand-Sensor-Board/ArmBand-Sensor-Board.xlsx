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sign-Files\ArmBand-Sensor-Board\Project Outputs for ArmBand-Sensor-Board\"/>
    </mc:Choice>
  </mc:AlternateContent>
  <xr:revisionPtr revIDLastSave="0" documentId="13_ncr:1_{EA5FFBCD-6DA9-4522-A016-10BA25A07534}" xr6:coauthVersionLast="47" xr6:coauthVersionMax="47" xr10:uidLastSave="{00000000-0000-0000-0000-000000000000}"/>
  <bookViews>
    <workbookView xWindow="1950" yWindow="840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8" i="1"/>
  <c r="B10" i="1"/>
</calcChain>
</file>

<file path=xl/sharedStrings.xml><?xml version="1.0" encoding="utf-8"?>
<sst xmlns="http://schemas.openxmlformats.org/spreadsheetml/2006/main" count="73" uniqueCount="64">
  <si>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</si>
  <si>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</si>
  <si>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</si>
  <si>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</si>
  <si>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</si>
  <si>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</si>
  <si>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</si>
  <si>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[ArmBand-Sensor-Board.PrjPcb] (No PCB Document Selected)</t>
  </si>
  <si>
    <t>ArmBand-Sensor-Board.PrjPcb</t>
  </si>
  <si>
    <t>None</t>
  </si>
  <si>
    <t>Designator</t>
  </si>
  <si>
    <t>C1, C60</t>
  </si>
  <si>
    <t>C51, C52</t>
  </si>
  <si>
    <t>J1</t>
  </si>
  <si>
    <t>J2</t>
  </si>
  <si>
    <t>P1, P2, P3, P4, P5, P6, P7, P8, P9, P10, P11, P12, P13, P14, P15, P16, P17, P18, P19</t>
  </si>
  <si>
    <t>R25, R26</t>
  </si>
  <si>
    <t>U16</t>
  </si>
  <si>
    <t>U17, U18</t>
  </si>
  <si>
    <t>Description</t>
  </si>
  <si>
    <t>CAP CER 0.1UF 50V X7R 0402</t>
  </si>
  <si>
    <t>CAP CER 1UF 16V X5R 0402</t>
  </si>
  <si>
    <t>CONN FFC BOTTOM 24POS 0.50MM R/A</t>
  </si>
  <si>
    <t>CONN FPC/FFC 12POS .5MM</t>
  </si>
  <si>
    <t>Test Point ON</t>
  </si>
  <si>
    <t>1/10W Thin Film Resistor 75V ±0.5% ±25ppm/℃ -55℃~+155℃ 64kΩ 0603 Chip Resistor - Surface Mount ROHS</t>
  </si>
  <si>
    <t>SOT-23-5 Operational Amplifier ROHS</t>
  </si>
  <si>
    <t>IC OPAMP GP 1.3MHZ 14SO</t>
  </si>
  <si>
    <t>Footprint</t>
  </si>
  <si>
    <t>Cap 0402</t>
  </si>
  <si>
    <t>FH12-24S-0.5SH(55)</t>
  </si>
  <si>
    <t>FH34SRJ-12S-0.5SH(50)</t>
  </si>
  <si>
    <t>TEST POINT</t>
  </si>
  <si>
    <t>Res0603</t>
  </si>
  <si>
    <t>SOT-23-5</t>
  </si>
  <si>
    <t>SO-14</t>
  </si>
  <si>
    <t>Manufacturer Part Number</t>
  </si>
  <si>
    <t>GRM155R71H104ME14D</t>
  </si>
  <si>
    <t>CC0402KRX5R7BB105</t>
  </si>
  <si>
    <t>TPMCP6021T-E/OT</t>
  </si>
  <si>
    <t>LM324DT</t>
  </si>
  <si>
    <t>#Column Name Error:' Alternate Part No</t>
  </si>
  <si>
    <t>Manufacturer</t>
  </si>
  <si>
    <t>Murata</t>
  </si>
  <si>
    <t>Yageo</t>
  </si>
  <si>
    <t>Hirose</t>
  </si>
  <si>
    <t>iking Tech</t>
  </si>
  <si>
    <t>TECH PUBLIC</t>
  </si>
  <si>
    <t>STMicroelectronics</t>
  </si>
  <si>
    <t>Comment</t>
  </si>
  <si>
    <t>0.1uF</t>
  </si>
  <si>
    <t>1uF</t>
  </si>
  <si>
    <t>Test Point</t>
  </si>
  <si>
    <t>64K</t>
  </si>
  <si>
    <t>ComponentLink1URL</t>
  </si>
  <si>
    <t>http://search.murata.co.jp/Ceramy/image/img/A01X/G101/ENG/GRM155R71H104ME14-01.pdf?src-supplier=Digi-Key</t>
  </si>
  <si>
    <t>http://www.yageo.com/documents/recent/UPY-GPHC_X5R_4V-to-50V_12.pdf?src-supplier=Avnet+Europe</t>
  </si>
  <si>
    <t>https://datasheet.ciiva.com/15176/getdatasheetpartid-439675-15176853.pdf?src-supplier=Verical</t>
  </si>
  <si>
    <t>https://www.hirose.com/product/en/download_file/key_name/FH34SRJ/category/Catalog/doc_file_id/31646/?file_category_id=4&amp;item_id=27&amp;is_series=1&amp;src-supplier=Digi-Key</t>
  </si>
  <si>
    <t>https://datasheet.ciiva.com/4758/cd00000457-103203-4758032.pdf?src-supplier=Mouser</t>
  </si>
  <si>
    <t>Quantity</t>
  </si>
  <si>
    <t>#Column Name Error:' Quantity (5 Boards)</t>
  </si>
  <si>
    <t>#Column Name Error:' Remarks</t>
  </si>
  <si>
    <t>ARG03DTC6402N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</si>
</sst>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6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22" xfId="0" applyNumberFormat="1" applyFont="1" applyFill="1" applyBorder="1" applyAlignment="1" applyProtection="1">
      <alignment horizontal="left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"/>
  <sheetViews>
    <sheetView tabSelected="1" topLeftCell="B1" workbookViewId="0">
      <selection activeCell="F15" sqref="F15"/>
    </sheetView>
  </sheetViews>
  <sheetFormatPr defaultRowHeight="15" x14ac:dyDescent="0.25"/>
  <cols>
    <col min="2" max="2" width="3.140625" style="25" customWidth="1"/>
    <col min="3" max="3" width="36" bestFit="1" customWidth="1"/>
    <col min="4" max="4" width="19.28515625" bestFit="1" customWidth="1"/>
    <col min="5" max="5" width="26.5703125" bestFit="1" customWidth="1"/>
    <col min="6" max="6" width="33.42578125" bestFit="1" customWidth="1"/>
    <col min="7" max="7" width="33.42578125" customWidth="1"/>
    <col min="8" max="8" width="21.42578125" bestFit="1" customWidth="1"/>
    <col min="9" max="9" width="29.42578125" bestFit="1" customWidth="1"/>
    <col min="10" max="13" width="29.42578125" customWidth="1"/>
  </cols>
  <sheetData>
    <row r="1" spans="1:13" ht="15.75" thickBot="1" x14ac:dyDescent="0.3">
      <c r="A1" s="1"/>
      <c r="B1" s="19"/>
      <c r="C1" s="2"/>
      <c r="D1" s="2"/>
      <c r="E1" s="2"/>
      <c r="F1" s="2"/>
      <c r="G1" s="2"/>
      <c r="H1" s="2"/>
      <c r="I1" s="55"/>
      <c r="J1" s="55"/>
      <c r="K1" s="55"/>
      <c r="L1" s="55"/>
      <c r="M1" s="55"/>
    </row>
    <row r="2" spans="1:13" ht="32.25" thickBot="1" x14ac:dyDescent="0.3">
      <c r="A2" s="1"/>
      <c r="B2" s="20"/>
      <c r="C2" s="10" t="s">
        <v>0</v>
      </c>
      <c r="D2" s="10"/>
      <c r="E2" s="51" t="s">
        <v>7</v>
      </c>
      <c r="F2" s="11"/>
      <c r="G2" s="11"/>
      <c r="H2" s="3"/>
      <c r="I2" s="3"/>
      <c r="J2" s="3"/>
      <c r="K2" s="3"/>
      <c r="L2" s="3"/>
      <c r="M2" s="48"/>
    </row>
    <row r="3" spans="1:13" x14ac:dyDescent="0.25">
      <c r="A3" s="1"/>
      <c r="B3" s="21"/>
      <c r="C3" s="12" t="s">
        <v>1</v>
      </c>
      <c r="D3" s="12"/>
      <c r="E3" s="52" t="s">
        <v>8</v>
      </c>
      <c r="F3" s="12"/>
      <c r="G3" s="12"/>
      <c r="H3" s="4"/>
      <c r="I3" s="4"/>
      <c r="J3" s="4"/>
      <c r="K3" s="4"/>
      <c r="L3" s="4"/>
      <c r="M3" s="56"/>
    </row>
    <row r="4" spans="1:13" x14ac:dyDescent="0.25">
      <c r="A4" s="1"/>
      <c r="B4" s="21"/>
      <c r="C4" s="12" t="s">
        <v>2</v>
      </c>
      <c r="D4" s="12"/>
      <c r="E4" s="53" t="s">
        <v>8</v>
      </c>
      <c r="F4" s="13"/>
      <c r="G4" s="13"/>
      <c r="H4" s="6"/>
      <c r="I4" s="6"/>
      <c r="J4" s="6"/>
      <c r="K4" s="6"/>
      <c r="L4" s="6"/>
      <c r="M4" s="57"/>
    </row>
    <row r="5" spans="1:13" x14ac:dyDescent="0.25">
      <c r="A5" s="1"/>
      <c r="B5" s="21"/>
      <c r="C5" s="12" t="s">
        <v>3</v>
      </c>
      <c r="D5" s="12"/>
      <c r="E5" s="54" t="s">
        <v>9</v>
      </c>
      <c r="F5" s="14"/>
      <c r="G5" s="14"/>
      <c r="H5" s="5"/>
      <c r="I5" s="5"/>
      <c r="J5" s="5"/>
      <c r="K5" s="5"/>
      <c r="L5" s="5"/>
      <c r="M5" s="57"/>
    </row>
    <row r="6" spans="1:13" x14ac:dyDescent="0.25">
      <c r="A6" s="1"/>
      <c r="B6" s="22"/>
      <c r="C6" s="15"/>
      <c r="D6" s="15"/>
      <c r="E6" s="16"/>
      <c r="F6" s="14"/>
      <c r="G6" s="14"/>
      <c r="H6" s="5"/>
      <c r="I6" s="5"/>
      <c r="J6" s="5"/>
      <c r="K6" s="5"/>
      <c r="L6" s="5"/>
      <c r="M6" s="57"/>
    </row>
    <row r="7" spans="1:13" x14ac:dyDescent="0.25">
      <c r="A7" s="1"/>
      <c r="B7" s="23"/>
      <c r="C7" s="17"/>
      <c r="D7" s="17"/>
      <c r="E7" s="18"/>
      <c r="F7" s="17"/>
      <c r="G7" s="17"/>
      <c r="H7" s="7"/>
      <c r="I7" s="7"/>
      <c r="J7" s="7"/>
      <c r="K7" s="7"/>
      <c r="L7" s="7"/>
      <c r="M7" s="57"/>
    </row>
    <row r="8" spans="1:13" ht="15.75" thickBot="1" x14ac:dyDescent="0.3">
      <c r="A8" s="1"/>
      <c r="B8" s="26"/>
      <c r="C8" s="27"/>
      <c r="D8" s="27"/>
      <c r="E8" s="28"/>
      <c r="F8" s="17"/>
      <c r="G8" s="17"/>
      <c r="H8" s="7"/>
      <c r="I8" s="7"/>
      <c r="J8" s="7"/>
      <c r="K8" s="7"/>
      <c r="L8" s="7"/>
      <c r="M8" s="57"/>
    </row>
    <row r="9" spans="1:13" ht="15.75" thickBot="1" x14ac:dyDescent="0.3">
      <c r="A9" s="1"/>
      <c r="B9" s="29" t="s">
        <v>4</v>
      </c>
      <c r="C9" s="29" t="s">
        <v>10</v>
      </c>
      <c r="D9" s="30" t="s">
        <v>19</v>
      </c>
      <c r="E9" s="29" t="s">
        <v>28</v>
      </c>
      <c r="F9" s="30" t="s">
        <v>36</v>
      </c>
      <c r="G9" s="29" t="s">
        <v>41</v>
      </c>
      <c r="H9" s="29" t="s">
        <v>42</v>
      </c>
      <c r="I9" s="30" t="s">
        <v>49</v>
      </c>
      <c r="J9" s="29" t="s">
        <v>54</v>
      </c>
      <c r="K9" s="29" t="s">
        <v>60</v>
      </c>
      <c r="L9" s="29" t="s">
        <v>61</v>
      </c>
      <c r="M9" s="31" t="s">
        <v>62</v>
      </c>
    </row>
    <row r="10" spans="1:13" ht="48.75" thickBot="1" x14ac:dyDescent="0.3">
      <c r="A10" s="1"/>
      <c r="B10" s="32">
        <f>ROW(B10) - ROW($B$9)</f>
        <v>1</v>
      </c>
      <c r="C10" s="39" t="s">
        <v>11</v>
      </c>
      <c r="D10" s="40" t="s">
        <v>20</v>
      </c>
      <c r="E10" s="39" t="s">
        <v>29</v>
      </c>
      <c r="F10" s="40" t="s">
        <v>37</v>
      </c>
      <c r="G10" s="39"/>
      <c r="H10" s="39" t="s">
        <v>43</v>
      </c>
      <c r="I10" s="40" t="s">
        <v>50</v>
      </c>
      <c r="J10" s="39" t="s">
        <v>55</v>
      </c>
      <c r="K10" s="39">
        <v>2</v>
      </c>
      <c r="L10" s="39"/>
      <c r="M10" s="45"/>
    </row>
    <row r="11" spans="1:13" ht="48.75" thickBot="1" x14ac:dyDescent="0.3">
      <c r="A11" s="1"/>
      <c r="B11" s="32">
        <f t="shared" ref="B11:B18" si="0">ROW(B11) - ROW($B$9)</f>
        <v>2</v>
      </c>
      <c r="C11" s="41" t="s">
        <v>12</v>
      </c>
      <c r="D11" s="42" t="s">
        <v>21</v>
      </c>
      <c r="E11" s="41" t="s">
        <v>29</v>
      </c>
      <c r="F11" s="42" t="s">
        <v>38</v>
      </c>
      <c r="G11" s="41"/>
      <c r="H11" s="41" t="s">
        <v>44</v>
      </c>
      <c r="I11" s="42" t="s">
        <v>51</v>
      </c>
      <c r="J11" s="41" t="s">
        <v>56</v>
      </c>
      <c r="K11" s="41">
        <v>2</v>
      </c>
      <c r="L11" s="41"/>
      <c r="M11" s="46"/>
    </row>
    <row r="12" spans="1:13" ht="36.75" thickBot="1" x14ac:dyDescent="0.3">
      <c r="A12" s="1"/>
      <c r="B12" s="32">
        <f>ROW(B12) - ROW($B$9)</f>
        <v>3</v>
      </c>
      <c r="C12" s="39" t="s">
        <v>13</v>
      </c>
      <c r="D12" s="40" t="s">
        <v>22</v>
      </c>
      <c r="E12" s="39" t="s">
        <v>30</v>
      </c>
      <c r="F12" s="40" t="s">
        <v>30</v>
      </c>
      <c r="G12" s="39"/>
      <c r="H12" s="39" t="s">
        <v>45</v>
      </c>
      <c r="I12" s="40" t="s">
        <v>30</v>
      </c>
      <c r="J12" s="39" t="s">
        <v>57</v>
      </c>
      <c r="K12" s="39">
        <v>1</v>
      </c>
      <c r="L12" s="39"/>
      <c r="M12" s="45"/>
    </row>
    <row r="13" spans="1:13" ht="72.75" thickBot="1" x14ac:dyDescent="0.3">
      <c r="A13" s="1"/>
      <c r="B13" s="32">
        <f t="shared" si="0"/>
        <v>4</v>
      </c>
      <c r="C13" s="41" t="s">
        <v>14</v>
      </c>
      <c r="D13" s="42" t="s">
        <v>23</v>
      </c>
      <c r="E13" s="41" t="s">
        <v>31</v>
      </c>
      <c r="F13" s="42" t="s">
        <v>31</v>
      </c>
      <c r="G13" s="41"/>
      <c r="H13" s="41" t="s">
        <v>45</v>
      </c>
      <c r="I13" s="42" t="s">
        <v>31</v>
      </c>
      <c r="J13" s="41" t="s">
        <v>58</v>
      </c>
      <c r="K13" s="41">
        <v>1</v>
      </c>
      <c r="L13" s="41"/>
      <c r="M13" s="46"/>
    </row>
    <row r="14" spans="1:13" ht="24.75" thickBot="1" x14ac:dyDescent="0.3">
      <c r="A14" s="1"/>
      <c r="B14" s="32">
        <f>ROW(B14) - ROW($B$9)</f>
        <v>5</v>
      </c>
      <c r="C14" s="39" t="s">
        <v>15</v>
      </c>
      <c r="D14" s="40" t="s">
        <v>24</v>
      </c>
      <c r="E14" s="39" t="s">
        <v>32</v>
      </c>
      <c r="F14" s="40"/>
      <c r="G14" s="39"/>
      <c r="H14" s="39"/>
      <c r="I14" s="40" t="s">
        <v>52</v>
      </c>
      <c r="J14" s="39"/>
      <c r="K14" s="39">
        <v>19</v>
      </c>
      <c r="L14" s="39"/>
      <c r="M14" s="45"/>
    </row>
    <row r="15" spans="1:13" ht="72.75" thickBot="1" x14ac:dyDescent="0.3">
      <c r="A15" s="1"/>
      <c r="B15" s="32">
        <f t="shared" si="0"/>
        <v>6</v>
      </c>
      <c r="C15" s="41" t="s">
        <v>16</v>
      </c>
      <c r="D15" s="42" t="s">
        <v>25</v>
      </c>
      <c r="E15" s="41" t="s">
        <v>33</v>
      </c>
      <c r="F15" s="42" t="s">
        <v>63</v>
      </c>
      <c r="G15" s="41"/>
      <c r="H15" s="41" t="s">
        <v>46</v>
      </c>
      <c r="I15" s="42" t="s">
        <v>53</v>
      </c>
      <c r="J15" s="41"/>
      <c r="K15" s="41">
        <v>2</v>
      </c>
      <c r="L15" s="41"/>
      <c r="M15" s="46"/>
    </row>
    <row r="16" spans="1:13" ht="24.75" thickBot="1" x14ac:dyDescent="0.3">
      <c r="A16" s="1"/>
      <c r="B16" s="32">
        <f>ROW(B16) - ROW($B$9)</f>
        <v>7</v>
      </c>
      <c r="C16" s="39" t="s">
        <v>17</v>
      </c>
      <c r="D16" s="40" t="s">
        <v>26</v>
      </c>
      <c r="E16" s="39" t="s">
        <v>34</v>
      </c>
      <c r="F16" s="40" t="s">
        <v>39</v>
      </c>
      <c r="G16" s="39"/>
      <c r="H16" s="39" t="s">
        <v>47</v>
      </c>
      <c r="I16" s="40" t="s">
        <v>39</v>
      </c>
      <c r="J16" s="39"/>
      <c r="K16" s="39">
        <v>1</v>
      </c>
      <c r="L16" s="39"/>
      <c r="M16" s="45"/>
    </row>
    <row r="17" spans="1:13" ht="36.75" thickBot="1" x14ac:dyDescent="0.3">
      <c r="A17" s="1"/>
      <c r="B17" s="32">
        <f t="shared" si="0"/>
        <v>8</v>
      </c>
      <c r="C17" s="41" t="s">
        <v>18</v>
      </c>
      <c r="D17" s="42" t="s">
        <v>27</v>
      </c>
      <c r="E17" s="41" t="s">
        <v>35</v>
      </c>
      <c r="F17" s="42" t="s">
        <v>40</v>
      </c>
      <c r="G17" s="41"/>
      <c r="H17" s="41" t="s">
        <v>48</v>
      </c>
      <c r="I17" s="42" t="s">
        <v>40</v>
      </c>
      <c r="J17" s="41" t="s">
        <v>59</v>
      </c>
      <c r="K17" s="41">
        <v>2</v>
      </c>
      <c r="L17" s="41"/>
      <c r="M17" s="46"/>
    </row>
    <row r="18" spans="1:13" ht="15.75" thickBot="1" x14ac:dyDescent="0.3">
      <c r="A18" s="1"/>
      <c r="B18" s="33">
        <f t="shared" si="0"/>
        <v>9</v>
      </c>
      <c r="C18" s="43"/>
      <c r="D18" s="44"/>
      <c r="E18" s="43"/>
      <c r="F18" s="44"/>
      <c r="G18" s="43"/>
      <c r="H18" s="43"/>
      <c r="I18" s="44"/>
      <c r="J18" s="43"/>
      <c r="K18" s="43"/>
      <c r="L18" s="43"/>
      <c r="M18" s="47"/>
    </row>
    <row r="19" spans="1:13" x14ac:dyDescent="0.25">
      <c r="A19" s="1"/>
      <c r="B19" s="34"/>
      <c r="C19" s="35" t="s">
        <v>5</v>
      </c>
      <c r="D19" s="36"/>
      <c r="E19" s="37"/>
      <c r="F19" s="38"/>
      <c r="G19" s="38"/>
      <c r="H19" s="37"/>
      <c r="I19" s="38"/>
      <c r="J19" s="38"/>
      <c r="K19" s="38"/>
      <c r="L19" s="38"/>
      <c r="M19" s="49"/>
    </row>
    <row r="20" spans="1:13" ht="15.75" thickBot="1" x14ac:dyDescent="0.3">
      <c r="A20" s="1"/>
      <c r="B20" s="24"/>
      <c r="C20" s="8" t="s">
        <v>6</v>
      </c>
      <c r="D20" s="9"/>
      <c r="E20" s="9"/>
      <c r="F20" s="9"/>
      <c r="G20" s="9"/>
      <c r="H20" s="9"/>
      <c r="I20" s="9"/>
      <c r="J20" s="9"/>
      <c r="K20" s="9"/>
      <c r="L20" s="9"/>
      <c r="M20" s="50"/>
    </row>
  </sheetData>
  <mergeCells count="2">
    <mergeCell ref="I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2022-06-24T12:08:40Z</dcterms:modified>
</cp:coreProperties>
</file>