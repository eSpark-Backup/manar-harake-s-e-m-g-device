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Sensor-Board\Project Outputs for ArmBand-Sensor-Board\"/>
    </mc:Choice>
  </mc:AlternateContent>
  <xr:revisionPtr revIDLastSave="0" documentId="13_ncr:1_{04C6DF28-6FFA-4A33-8C72-17C4A9F197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<sst xmlns="http://schemas.openxmlformats.org/spreadsheetml/2006/main" count="95" uniqueCount="77">
  <si>
    <t>#</t>
  </si>
  <si>
    <t>Item Type</t>
  </si>
  <si>
    <t>Capacitor</t>
  </si>
  <si>
    <t>FFC/FPC Connector</t>
  </si>
  <si>
    <t>FFC Connector</t>
  </si>
  <si>
    <t>TEST POINT</t>
  </si>
  <si>
    <t>Resistor</t>
  </si>
  <si>
    <t>Switch</t>
  </si>
  <si>
    <t>IC</t>
  </si>
  <si>
    <t>Designator</t>
  </si>
  <si>
    <t>C1, C2, C3</t>
  </si>
  <si>
    <t>C4, C5</t>
  </si>
  <si>
    <t>J1</t>
  </si>
  <si>
    <t>J2</t>
  </si>
  <si>
    <t>P1, P3, P5, P7, P9, P11, P13, P15, P16, P18, P20</t>
  </si>
  <si>
    <t>P2, P4</t>
  </si>
  <si>
    <t>R1, R2</t>
  </si>
  <si>
    <t>R3, R4</t>
  </si>
  <si>
    <t>SB1, SB2, SB3, SB4, SB5, SB6</t>
  </si>
  <si>
    <t>SW1, SW2</t>
  </si>
  <si>
    <t>U1</t>
  </si>
  <si>
    <t>U2</t>
  </si>
  <si>
    <t>U17, U18</t>
  </si>
  <si>
    <t>Description</t>
  </si>
  <si>
    <t>CAP CER 10UF 25V X5R 0603</t>
  </si>
  <si>
    <t>CAP CER 0.1UF 50V X7R 0402</t>
  </si>
  <si>
    <t>Slide Lock 32P Contact,Top Surface Mount，Right Angle 0.5mm SMD,P=0.5mm,Surface Mount，Right Angle FFC/FPC Connectors ROHS</t>
  </si>
  <si>
    <t>CONN FPC/FFC 12POS .5MM</t>
  </si>
  <si>
    <t>Test Point ON</t>
  </si>
  <si>
    <t>RES 10K OHM 1% 1/16W 0402</t>
  </si>
  <si>
    <t>1/10W Thin Film Resistor 75V ±0.5% ±25ppm/℃ -55℃~+155℃ 64kΩ 0603 Chip Resistor - Surface Mount ROHS</t>
  </si>
  <si>
    <t>Solder Bridge ON</t>
  </si>
  <si>
    <t>No Gull Wing 50mA 100MΩ 80000 260gf@±50gf 12V -25℃~+85℃ 1.7mm Golden Round Button Brick nogging SPST SMD Tactile Switches ROHS</t>
  </si>
  <si>
    <t>NO Charge pump 1 -5.5V~-1.4V 1.4V~5.5V 60mA 19kHz SOT-23-5 DC-DC Converters ROHS</t>
  </si>
  <si>
    <t>SOT-23-5 Operational Amplifier ROHS</t>
  </si>
  <si>
    <t>IC OPAMP GP 1.3MHZ 14SO</t>
  </si>
  <si>
    <t>Footprint</t>
  </si>
  <si>
    <t>Cap-0603</t>
  </si>
  <si>
    <t>Cap-0402</t>
  </si>
  <si>
    <t>AFC07-S32ECA-00</t>
  </si>
  <si>
    <t>FH34SRJ-12S-0.5SH(50)_</t>
  </si>
  <si>
    <t>Test-point</t>
  </si>
  <si>
    <t>Res-0402</t>
  </si>
  <si>
    <t>Res-0603</t>
  </si>
  <si>
    <t>Solder Bridge</t>
  </si>
  <si>
    <t>TC-0522C-1.7-260G_</t>
  </si>
  <si>
    <t>SOT-23-5</t>
  </si>
  <si>
    <t>SO-14</t>
  </si>
  <si>
    <t>Manufacturer Part Number</t>
  </si>
  <si>
    <t>CL10A106MA8NRNC</t>
  </si>
  <si>
    <t>GRM155R71H104ME14D</t>
  </si>
  <si>
    <t>FH34SRJ-12S-0.5SH(50)</t>
  </si>
  <si>
    <t>RC0402FR-0710KL</t>
  </si>
  <si>
    <t>ARG03DTC6402N</t>
  </si>
  <si>
    <t>TC-0522C-1.7-260G</t>
  </si>
  <si>
    <t>SGM3207YN5G/TR</t>
  </si>
  <si>
    <t>TPMCP6021T-E/OT</t>
  </si>
  <si>
    <t>LM324DT</t>
  </si>
  <si>
    <t>Manufacturer</t>
  </si>
  <si>
    <t>Samsung</t>
  </si>
  <si>
    <t>Murata</t>
  </si>
  <si>
    <t>JUSHUO</t>
  </si>
  <si>
    <t>Hirose</t>
  </si>
  <si>
    <t>Yageo</t>
  </si>
  <si>
    <t>iking Tech</t>
  </si>
  <si>
    <t>HCTL</t>
  </si>
  <si>
    <t>SG Micro</t>
  </si>
  <si>
    <t>TECH PUBLIC</t>
  </si>
  <si>
    <t>STMicroelectronics</t>
  </si>
  <si>
    <t>Comment</t>
  </si>
  <si>
    <t>10uF</t>
  </si>
  <si>
    <t>0.1uF</t>
  </si>
  <si>
    <t>Test Point</t>
  </si>
  <si>
    <t>10K</t>
  </si>
  <si>
    <t>64K</t>
  </si>
  <si>
    <t>Quantity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</si>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</sst>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7"/>
  <sheetViews>
    <sheetView tabSelected="1" workbookViewId="0">
      <selection activeCell="H12" sqref="H12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4"/>
      <c r="J1" s="24"/>
    </row>
    <row r="2" spans="1:10" ht="15.75" thickBot="1" x14ac:dyDescent="0.3">
      <c r="A2" s="1"/>
      <c r="B2" s="8" t="s">
        <v>0</v>
      </c>
      <c r="C2" s="8" t="s">
        <v>1</v>
      </c>
      <c r="D2" s="8" t="s">
        <v>9</v>
      </c>
      <c r="E2" s="9" t="s">
        <v>23</v>
      </c>
      <c r="F2" s="8" t="s">
        <v>36</v>
      </c>
      <c r="G2" s="9" t="s">
        <v>48</v>
      </c>
      <c r="H2" s="8" t="s">
        <v>58</v>
      </c>
      <c r="I2" s="9" t="s">
        <v>69</v>
      </c>
      <c r="J2" s="8" t="s">
        <v>75</v>
      </c>
    </row>
    <row r="3" spans="1:10" ht="15.75" thickBot="1" x14ac:dyDescent="0.3">
      <c r="A3" s="1"/>
      <c r="B3" s="21">
        <f>ROW(B3) - ROW($B$2)</f>
        <v>1</v>
      </c>
      <c r="C3" s="22"/>
      <c r="D3" s="15" t="s">
        <v>10</v>
      </c>
      <c r="E3" s="16" t="s">
        <v>24</v>
      </c>
      <c r="F3" s="15" t="s">
        <v>37</v>
      </c>
      <c r="G3" s="16" t="s">
        <v>49</v>
      </c>
      <c r="H3" s="15" t="s">
        <v>59</v>
      </c>
      <c r="I3" s="16" t="s">
        <v>70</v>
      </c>
      <c r="J3" s="15">
        <v>3</v>
      </c>
    </row>
    <row r="4" spans="1:10" ht="15.75" thickBot="1" x14ac:dyDescent="0.3">
      <c r="A4" s="1"/>
      <c r="B4" s="21">
        <f t="shared" ref="B4:B14" si="0">ROW(B4) - ROW($B$2)</f>
        <v>2</v>
      </c>
      <c r="C4" s="23" t="s">
        <v>2</v>
      </c>
      <c r="D4" s="17" t="s">
        <v>11</v>
      </c>
      <c r="E4" s="18" t="s">
        <v>25</v>
      </c>
      <c r="F4" s="17" t="s">
        <v>38</v>
      </c>
      <c r="G4" s="18" t="s">
        <v>50</v>
      </c>
      <c r="H4" s="17" t="s">
        <v>60</v>
      </c>
      <c r="I4" s="18" t="s">
        <v>71</v>
      </c>
      <c r="J4" s="17">
        <v>2</v>
      </c>
    </row>
    <row r="5" spans="1:10" ht="48.75" thickBot="1" x14ac:dyDescent="0.3">
      <c r="A5" s="1"/>
      <c r="B5" s="21">
        <f>ROW(B5) - ROW($B$2)</f>
        <v>3</v>
      </c>
      <c r="C5" s="22" t="s">
        <v>3</v>
      </c>
      <c r="D5" s="15" t="s">
        <v>12</v>
      </c>
      <c r="E5" s="16" t="s">
        <v>26</v>
      </c>
      <c r="F5" s="15" t="s">
        <v>39</v>
      </c>
      <c r="G5" s="16" t="s">
        <v>39</v>
      </c>
      <c r="H5" s="15" t="s">
        <v>61</v>
      </c>
      <c r="I5" s="16" t="s">
        <v>39</v>
      </c>
      <c r="J5" s="15">
        <v>1</v>
      </c>
    </row>
    <row r="6" spans="1:10" ht="24.75" thickBot="1" x14ac:dyDescent="0.3">
      <c r="A6" s="1"/>
      <c r="B6" s="21">
        <f t="shared" si="0"/>
        <v>4</v>
      </c>
      <c r="C6" s="23" t="s">
        <v>4</v>
      </c>
      <c r="D6" s="17" t="s">
        <v>13</v>
      </c>
      <c r="E6" s="18" t="s">
        <v>27</v>
      </c>
      <c r="F6" s="17" t="s">
        <v>40</v>
      </c>
      <c r="G6" s="18" t="s">
        <v>51</v>
      </c>
      <c r="H6" s="17" t="s">
        <v>62</v>
      </c>
      <c r="I6" s="18" t="s">
        <v>51</v>
      </c>
      <c r="J6" s="17">
        <v>1</v>
      </c>
    </row>
    <row r="7" spans="1:10" ht="15.75" thickBot="1" x14ac:dyDescent="0.3">
      <c r="A7" s="1"/>
      <c r="B7" s="21">
        <f>ROW(B7) - ROW($B$2)</f>
        <v>5</v>
      </c>
      <c r="C7" s="22"/>
      <c r="D7" s="15" t="s">
        <v>14</v>
      </c>
      <c r="E7" s="16" t="s">
        <v>28</v>
      </c>
      <c r="F7" s="15" t="s">
        <v>5</v>
      </c>
      <c r="G7" s="16" t="s">
        <v>76</v>
      </c>
      <c r="H7" s="15" t="s">
        <v>76</v>
      </c>
      <c r="I7" s="16" t="s">
        <v>72</v>
      </c>
      <c r="J7" s="15">
        <v>11</v>
      </c>
    </row>
    <row r="8" spans="1:10" ht="15.75" thickBot="1" x14ac:dyDescent="0.3">
      <c r="A8" s="1"/>
      <c r="B8" s="21">
        <f t="shared" si="0"/>
        <v>6</v>
      </c>
      <c r="C8" s="23" t="s">
        <v>5</v>
      </c>
      <c r="D8" s="17" t="s">
        <v>15</v>
      </c>
      <c r="E8" s="18" t="s">
        <v>28</v>
      </c>
      <c r="F8" s="17" t="s">
        <v>41</v>
      </c>
      <c r="G8" s="18" t="s">
        <v>76</v>
      </c>
      <c r="H8" s="17" t="s">
        <v>76</v>
      </c>
      <c r="I8" s="18" t="s">
        <v>5</v>
      </c>
      <c r="J8" s="17">
        <v>2</v>
      </c>
    </row>
    <row r="9" spans="1:10" ht="15.75" thickBot="1" x14ac:dyDescent="0.3">
      <c r="A9" s="1"/>
      <c r="B9" s="21">
        <f>ROW(B9) - ROW($B$2)</f>
        <v>7</v>
      </c>
      <c r="C9" s="22"/>
      <c r="D9" s="15" t="s">
        <v>16</v>
      </c>
      <c r="E9" s="16" t="s">
        <v>29</v>
      </c>
      <c r="F9" s="15" t="s">
        <v>42</v>
      </c>
      <c r="G9" s="16" t="s">
        <v>52</v>
      </c>
      <c r="H9" s="15" t="s">
        <v>63</v>
      </c>
      <c r="I9" s="16" t="s">
        <v>73</v>
      </c>
      <c r="J9" s="15">
        <v>2</v>
      </c>
    </row>
    <row r="10" spans="1:10" ht="36.75" thickBot="1" x14ac:dyDescent="0.3">
      <c r="A10" s="1"/>
      <c r="B10" s="21">
        <f t="shared" si="0"/>
        <v>8</v>
      </c>
      <c r="C10" s="23" t="s">
        <v>6</v>
      </c>
      <c r="D10" s="17" t="s">
        <v>17</v>
      </c>
      <c r="E10" s="18" t="s">
        <v>30</v>
      </c>
      <c r="F10" s="17" t="s">
        <v>43</v>
      </c>
      <c r="G10" s="18" t="s">
        <v>53</v>
      </c>
      <c r="H10" s="17" t="s">
        <v>64</v>
      </c>
      <c r="I10" s="18" t="s">
        <v>74</v>
      </c>
      <c r="J10" s="17">
        <v>2</v>
      </c>
    </row>
    <row r="11" spans="1:10" ht="15.75" thickBot="1" x14ac:dyDescent="0.3">
      <c r="A11" s="1"/>
      <c r="B11" s="21">
        <f>ROW(B11) - ROW($B$2)</f>
        <v>9</v>
      </c>
      <c r="C11" s="22"/>
      <c r="D11" s="15" t="s">
        <v>18</v>
      </c>
      <c r="E11" s="16" t="s">
        <v>31</v>
      </c>
      <c r="F11" s="15" t="s">
        <v>44</v>
      </c>
      <c r="G11" s="16" t="s">
        <v>76</v>
      </c>
      <c r="H11" s="15" t="s">
        <v>76</v>
      </c>
      <c r="I11" s="16" t="s">
        <v>44</v>
      </c>
      <c r="J11" s="15">
        <v>6</v>
      </c>
    </row>
    <row r="12" spans="1:10" ht="48.75" thickBot="1" x14ac:dyDescent="0.3">
      <c r="A12" s="1"/>
      <c r="B12" s="21">
        <f t="shared" si="0"/>
        <v>10</v>
      </c>
      <c r="C12" s="23" t="s">
        <v>7</v>
      </c>
      <c r="D12" s="17" t="s">
        <v>19</v>
      </c>
      <c r="E12" s="18" t="s">
        <v>32</v>
      </c>
      <c r="F12" s="17" t="s">
        <v>45</v>
      </c>
      <c r="G12" s="18" t="s">
        <v>54</v>
      </c>
      <c r="H12" s="17" t="s">
        <v>65</v>
      </c>
      <c r="I12" s="18" t="s">
        <v>54</v>
      </c>
      <c r="J12" s="17">
        <v>2</v>
      </c>
    </row>
    <row r="13" spans="1:10" ht="36.75" thickBot="1" x14ac:dyDescent="0.3">
      <c r="A13" s="1"/>
      <c r="B13" s="21">
        <f>ROW(B13) - ROW($B$2)</f>
        <v>11</v>
      </c>
      <c r="C13" s="22" t="s">
        <v>8</v>
      </c>
      <c r="D13" s="15" t="s">
        <v>20</v>
      </c>
      <c r="E13" s="16" t="s">
        <v>33</v>
      </c>
      <c r="F13" s="15" t="s">
        <v>46</v>
      </c>
      <c r="G13" s="16" t="s">
        <v>55</v>
      </c>
      <c r="H13" s="15" t="s">
        <v>66</v>
      </c>
      <c r="I13" s="16" t="s">
        <v>55</v>
      </c>
      <c r="J13" s="15">
        <v>1</v>
      </c>
    </row>
    <row r="14" spans="1:10" ht="24.75" thickBot="1" x14ac:dyDescent="0.3">
      <c r="A14" s="1"/>
      <c r="B14" s="21">
        <f t="shared" si="0"/>
        <v>12</v>
      </c>
      <c r="C14" s="23" t="s">
        <v>8</v>
      </c>
      <c r="D14" s="17" t="s">
        <v>21</v>
      </c>
      <c r="E14" s="18" t="s">
        <v>34</v>
      </c>
      <c r="F14" s="17" t="s">
        <v>46</v>
      </c>
      <c r="G14" s="18" t="s">
        <v>56</v>
      </c>
      <c r="H14" s="17" t="s">
        <v>67</v>
      </c>
      <c r="I14" s="18" t="s">
        <v>56</v>
      </c>
      <c r="J14" s="17">
        <v>1</v>
      </c>
    </row>
    <row r="15" spans="1:10" ht="15.75" thickBot="1" x14ac:dyDescent="0.3">
      <c r="A15" s="1"/>
      <c r="B15" s="21">
        <f>ROW(B15) - ROW($B$2)</f>
        <v>13</v>
      </c>
      <c r="C15" s="22"/>
      <c r="D15" s="15" t="s">
        <v>22</v>
      </c>
      <c r="E15" s="16" t="s">
        <v>35</v>
      </c>
      <c r="F15" s="15" t="s">
        <v>47</v>
      </c>
      <c r="G15" s="16" t="s">
        <v>57</v>
      </c>
      <c r="H15" s="15" t="s">
        <v>68</v>
      </c>
      <c r="I15" s="16" t="s">
        <v>57</v>
      </c>
      <c r="J15" s="15">
        <v>2</v>
      </c>
    </row>
    <row r="16" spans="1:10" x14ac:dyDescent="0.25">
      <c r="A16" s="1"/>
      <c r="B16" s="10"/>
      <c r="C16" s="19"/>
      <c r="D16" s="11"/>
      <c r="E16" s="12"/>
      <c r="F16" s="13"/>
      <c r="G16" s="14"/>
      <c r="H16" s="13"/>
      <c r="I16" s="14"/>
      <c r="J16" s="14"/>
    </row>
    <row r="17" spans="1:10" ht="15.75" thickBot="1" x14ac:dyDescent="0.3">
      <c r="A17" s="1"/>
      <c r="B17" s="6"/>
      <c r="C17" s="20"/>
      <c r="D17" s="3"/>
      <c r="E17" s="4"/>
      <c r="F17" s="4"/>
      <c r="G17" s="4"/>
      <c r="H17" s="4"/>
      <c r="I17" s="4"/>
      <c r="J17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2024-01-26T15:54:29Z</dcterms:modified>
</cp:coreProperties>
</file>