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 codeName="ThisWorkbook"/>
  <mc:AlternateContent xmlns:mc="http://schemas.openxmlformats.org/markup-compatibility/2006">
    <mc:Choice Requires="x15">
      <x15ac:absPath xmlns:x15ac="http://schemas.microsoft.com/office/spreadsheetml/2010/11/ac" url="C:\GitHub\ManarHarake-sEMGDevice\Deliverables\"/>
    </mc:Choice>
  </mc:AlternateContent>
  <xr:revisionPtr revIDLastSave="0" documentId="13_ncr:1_{58D3CED1-D9FC-49DA-BC3E-4F965A1B229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55" i="1" l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</calcChain>
</file>

<file path=xl/sharedStrings.xml><?xml version="1.0" encoding="utf-8"?>
<sst xmlns="http://schemas.openxmlformats.org/spreadsheetml/2006/main" count="293" uniqueCount="231">
  <si>
    <t>Component list</t>
  </si>
  <si>
    <t>Source Data From:</t>
  </si>
  <si>
    <t>Project:</t>
  </si>
  <si>
    <t>Variant:</t>
  </si>
  <si>
    <t>#</t>
  </si>
  <si>
    <t>Approved</t>
  </si>
  <si>
    <t>Notes</t>
  </si>
  <si>
    <t>Bill of Materials for Project [ArmBand-Control-Board.PrjPcb] (No PCB Document Selected)</t>
  </si>
  <si>
    <t>ArmBand-Control-Board.PrjPcb</t>
  </si>
  <si>
    <t>None</t>
  </si>
  <si>
    <t>Designator</t>
  </si>
  <si>
    <t>C1, C2, C7</t>
  </si>
  <si>
    <t>C3, C4, C6, C10, C11, C12, C13, C14, C15, C18, C19, C20, C21, C22, C24, C31, C34, C35, C36, C37, C41, C42, C47, C49</t>
  </si>
  <si>
    <t>C5</t>
  </si>
  <si>
    <t>C8, C25, C26, C27, C28, C39, C40, C50</t>
  </si>
  <si>
    <t>C9, C23, C33</t>
  </si>
  <si>
    <t>C16, C30, C32, C43, C45, C46, C48, C51</t>
  </si>
  <si>
    <t>C17</t>
  </si>
  <si>
    <t>C29, C44</t>
  </si>
  <si>
    <t>C38</t>
  </si>
  <si>
    <t>J1</t>
  </si>
  <si>
    <t>J2</t>
  </si>
  <si>
    <t>J3</t>
  </si>
  <si>
    <t>J4</t>
  </si>
  <si>
    <t>J5</t>
  </si>
  <si>
    <t>J6</t>
  </si>
  <si>
    <t>J7</t>
  </si>
  <si>
    <t>L1</t>
  </si>
  <si>
    <t>L2</t>
  </si>
  <si>
    <t>L3</t>
  </si>
  <si>
    <t>L4</t>
  </si>
  <si>
    <t>L5</t>
  </si>
  <si>
    <t>L6</t>
  </si>
  <si>
    <t>L8</t>
  </si>
  <si>
    <t>LED1, LED3</t>
  </si>
  <si>
    <t>LED2</t>
  </si>
  <si>
    <t>R1</t>
  </si>
  <si>
    <t>R2, R3, R9, R28</t>
  </si>
  <si>
    <t>R4, R5, R6, R12, R18, R19, R22, R23, R25, R27</t>
  </si>
  <si>
    <t>R7</t>
  </si>
  <si>
    <t>R8, R13, R14, R15, R16, R17, R26</t>
  </si>
  <si>
    <t>R10, R11</t>
  </si>
  <si>
    <t>R20, R21</t>
  </si>
  <si>
    <t>R24</t>
  </si>
  <si>
    <t>SB1, SB2, SB3</t>
  </si>
  <si>
    <t>SW1</t>
  </si>
  <si>
    <t>U1</t>
  </si>
  <si>
    <t>U2</t>
  </si>
  <si>
    <t>U3</t>
  </si>
  <si>
    <t>U4</t>
  </si>
  <si>
    <t>U5</t>
  </si>
  <si>
    <t>U6</t>
  </si>
  <si>
    <t>U7</t>
  </si>
  <si>
    <t>U8</t>
  </si>
  <si>
    <t>X1, X4</t>
  </si>
  <si>
    <t>X2</t>
  </si>
  <si>
    <t>X3</t>
  </si>
  <si>
    <t>Description</t>
  </si>
  <si>
    <t>0805 22 uF 25 V ±20% Tolerance X5R SMT Multilayer Ceramic Capacitor, CAP CER 22UF 25V X5R 0805</t>
  </si>
  <si>
    <t>CAP CER 0.1UF 50V X7R 0402</t>
  </si>
  <si>
    <t>CAP CER 10UF 25V X5R 0603</t>
  </si>
  <si>
    <t>CAP CER 20PF 50V C0G/NPO 0402</t>
  </si>
  <si>
    <t>16V 4.7uF ±20% 0402 Multilayer Ceramic Capacitors MLCC</t>
  </si>
  <si>
    <t>CAP CER 1UF 16V X5R 0402</t>
  </si>
  <si>
    <t>CAP CER 2.2UF 25V X5R 0402</t>
  </si>
  <si>
    <t>0402 1 nF 25 V ±10 % Tolerance X7R SMT Multilayer Ceramic Capacitor, CAP CER 1000PF 25V X7R 0402</t>
  </si>
  <si>
    <t>CAP CER 0.8PF 50V C0G/NP0 0402</t>
  </si>
  <si>
    <t>CONN U.FL RCPT STR 50 OHM SMD</t>
  </si>
  <si>
    <t>CONN RCP USB3.1 TYPEC 24P SMD RA</t>
  </si>
  <si>
    <t>CONN HEADER VERT 2POS 1.5MM</t>
  </si>
  <si>
    <t>Clamshell 22 Double-sided contacts/up and down connection Surface Mount 0.5mm SMD,P=0.5mm FFC/FPC Connectors ROHS</t>
  </si>
  <si>
    <t>2A Surface Mount Square Pins 2mm 4mm -40℃~+105℃ 1 8 2mm 1x8P SMD,P=2mm Pin Headers ROHS</t>
  </si>
  <si>
    <t>CONN FPC/FFC 12POS .5MM</t>
  </si>
  <si>
    <t>4 POS 2.54mm Pin Header Male single row Right Angle SMD</t>
  </si>
  <si>
    <t>FIXED IND 2.2UH 1.5A 160MOHM SMD</t>
  </si>
  <si>
    <t>FIXED IND 10UH 360MA 1.32OHM SMD</t>
  </si>
  <si>
    <t>500mA 10uH ±20% 320mΩ 0805 Inductors (SMD) ROHS</t>
  </si>
  <si>
    <t>550mA 15nH ±5% 150mΩ SMD,1.68x1x0.85mm Inductors (SMD) ROHS</t>
  </si>
  <si>
    <t>Inductor RF Chip Wirewound 3.9nH 0.2nH 100MHz 38Q-Factor 1A 32mOhm DCR 0603 Paper T/R</t>
  </si>
  <si>
    <t>FERRITE BEAD 30 OHM 0603 1LN / Ferrite Beads Multi-Layer 30Ohm 100MHz 1A 0.05Ohm DCR 0603 T/R</t>
  </si>
  <si>
    <t>2.7A 6.8uH ±20% 50mΩ SMD Power Inductors ROHS</t>
  </si>
  <si>
    <t>LED GREEN CLEAR CHIP SMD</t>
  </si>
  <si>
    <t>LED RED CLEAR CHIP SMD</t>
  </si>
  <si>
    <t>0.1W ±5% ±1500ppm/℃ 25mΩ 0603 Chip Resistor - Surface Mount ROHS</t>
  </si>
  <si>
    <t>RES SMD 1K OHM 5% 1/10W 0402, RES 1K OHM 5% 1/16W 0402</t>
  </si>
  <si>
    <t>RES SMD 10K OHM 1% 1/16W 0402</t>
  </si>
  <si>
    <t>62.5mW Thick Film Resistors 50V ±5% ±200ppm/℃ 1Ω -55℃~+155℃ 0402 Chip Resistor - Surface Mount ROHS</t>
  </si>
  <si>
    <t>RES SMD 100K OHM 1% 1/5W 0402</t>
  </si>
  <si>
    <t>RES SMD 4.7K OHM 5% 1/10W 0402</t>
  </si>
  <si>
    <t>RES 5.1K OHM 1% 1/10W 0603</t>
  </si>
  <si>
    <t>RES SMD 0402 10.7kOhm 0.5% Paper T/R</t>
  </si>
  <si>
    <t>Solder Bridge ON</t>
  </si>
  <si>
    <t>3mm 2mm Round Button 50mA Top3.65mm SPST 12V SMD Tactile Switches</t>
  </si>
  <si>
    <t>2.1A, 1- OR 2-CELL LI-ION BATTER</t>
  </si>
  <si>
    <t>IC MPU/RESET CIRC SOT23-3</t>
  </si>
  <si>
    <t>IC PWR SWITCH P-CH 1:1 SUPERSOT6</t>
  </si>
  <si>
    <t>Buck Switching Regulator IC Positive Fixed 3.3V 1 Output 1A 8-WFDFN Exposed Pad</t>
  </si>
  <si>
    <t>IC MCU 32BIT 512KB FLASH 64QFN</t>
  </si>
  <si>
    <t>IC RF TXRX+MCU BLUETOOTH 32WFQFN</t>
  </si>
  <si>
    <t>iNEMO Inertial Module: 3D Accelerometer and 3D Gyroscope, 1.71V to 3.6V, -40°C to 85°C, VFLGA-14L, RoHS</t>
  </si>
  <si>
    <t>300mA 75dB@1kHz 10nA 90mV 2.8V~2.8V 2 6V SOT-23-6 Linear Voltage Regulators (LDO) ROHS</t>
  </si>
  <si>
    <t>32.768kHz SMD Crystal Resonator 12.5pF ±20ppm -40℃~+85℃ SMD3215-2P Crystals ROHS</t>
  </si>
  <si>
    <t>16MHz SMD Crystal Resonator 12pF ±10ppm ±30ppm -40℃~+85℃ SMD3225-4P Crystals ROHS</t>
  </si>
  <si>
    <t>32MHz SMD Crystal Resonator 12pF 40Ω ±10ppm ±20ppm -40℃~+85℃ SMD3225-4P Crystals ROHS</t>
  </si>
  <si>
    <t>Footprint</t>
  </si>
  <si>
    <t>Cap0805</t>
  </si>
  <si>
    <t>Cap 0402</t>
  </si>
  <si>
    <t>Cap0603</t>
  </si>
  <si>
    <t>U.FL-R-SMT-1(80)</t>
  </si>
  <si>
    <t>2305018-2</t>
  </si>
  <si>
    <t>B2B-ZR(LF)(SN)</t>
  </si>
  <si>
    <t>F0504-H-22-20T-R</t>
  </si>
  <si>
    <t>SMD Header 1x8</t>
  </si>
  <si>
    <t>FH34SRJ-12S-0.5SH(50)</t>
  </si>
  <si>
    <t>HDR1X4 SMD</t>
  </si>
  <si>
    <t>MAKK2016T2R2M</t>
  </si>
  <si>
    <t>NLCV25T-100K-EFRD</t>
  </si>
  <si>
    <t>Ind0805</t>
  </si>
  <si>
    <t>SCW1608C15NJST</t>
  </si>
  <si>
    <t>IND 0603</t>
  </si>
  <si>
    <t>LVC505040-6R8M-N</t>
  </si>
  <si>
    <t>LED 0402</t>
  </si>
  <si>
    <t>Res0603</t>
  </si>
  <si>
    <t>Res0402</t>
  </si>
  <si>
    <t>Solder Bridge</t>
  </si>
  <si>
    <t>TS-1185EC-C-D-B</t>
  </si>
  <si>
    <t>QFN(3X3)</t>
  </si>
  <si>
    <t>SOT-23</t>
  </si>
  <si>
    <t>SuperSOT™-6</t>
  </si>
  <si>
    <t>8-WSON (2x2)</t>
  </si>
  <si>
    <t>QFN64</t>
  </si>
  <si>
    <t>32 QFN</t>
  </si>
  <si>
    <t>14-LGA (2.5x3)</t>
  </si>
  <si>
    <t>SOT-23-6</t>
  </si>
  <si>
    <t>X321532768KGD2SI</t>
  </si>
  <si>
    <t>X322516MOB4SI</t>
  </si>
  <si>
    <t>XC32M4-32.000-F12NLDT</t>
  </si>
  <si>
    <t>Manufacturer Part Number</t>
  </si>
  <si>
    <t>GRM21BR61E226ME44L</t>
  </si>
  <si>
    <t>GRM155R71H104ME14D</t>
  </si>
  <si>
    <t>CL10A106MA8NRNC</t>
  </si>
  <si>
    <t>CC0402JRNPO9BN200</t>
  </si>
  <si>
    <t>EDK105BBJ475MVLF</t>
  </si>
  <si>
    <t>CC0402KRX5R7BB105</t>
  </si>
  <si>
    <t>GRM155R61E225KE11D</t>
  </si>
  <si>
    <t>CC0402JRNPO9BN200, CC0402KRX7R8BB102</t>
  </si>
  <si>
    <t>GJM1555C1HR80WB01D</t>
  </si>
  <si>
    <t>1220-1108G0Z090CR02</t>
  </si>
  <si>
    <t>MGFL2012F100MT-LF</t>
  </si>
  <si>
    <t>LQW18AN3N9C10D</t>
  </si>
  <si>
    <t>BLM18PG300SN1D</t>
  </si>
  <si>
    <t>XZVG68W-2</t>
  </si>
  <si>
    <t>XZMDK68W-2</t>
  </si>
  <si>
    <t>RTT03R025JTP</t>
  </si>
  <si>
    <t>ERJ-2GEJ102X, RC0402JR-071KL</t>
  </si>
  <si>
    <t>RC0402FR-0710KL</t>
  </si>
  <si>
    <t>FRC0402J1R0 TS</t>
  </si>
  <si>
    <t>ERJ-PA2F1003X</t>
  </si>
  <si>
    <t>ERJ-2GEJ472X</t>
  </si>
  <si>
    <t>RMCF0603FT5K10</t>
  </si>
  <si>
    <t>AC0402DR-0710K7L</t>
  </si>
  <si>
    <t>MP2615CGQ-Z</t>
  </si>
  <si>
    <t>MAX809SEUR+T</t>
  </si>
  <si>
    <t>FDC6330L</t>
  </si>
  <si>
    <t>TPS62162DSGR</t>
  </si>
  <si>
    <t>ATSAM4S8BA-MU</t>
  </si>
  <si>
    <t>NRF52810-QCAA-R</t>
  </si>
  <si>
    <t>LSM6DSRTR</t>
  </si>
  <si>
    <t>VRD2828PTX</t>
  </si>
  <si>
    <t>Manufacturer</t>
  </si>
  <si>
    <t>Murata</t>
  </si>
  <si>
    <t>Samsung</t>
  </si>
  <si>
    <t>Yageo</t>
  </si>
  <si>
    <t>Taiyo Yuden</t>
  </si>
  <si>
    <t>Hirose</t>
  </si>
  <si>
    <t>TE Connectivity AMP</t>
  </si>
  <si>
    <t>JST</t>
  </si>
  <si>
    <t>XFCN</t>
  </si>
  <si>
    <t>Wcon</t>
  </si>
  <si>
    <t>RTLECS</t>
  </si>
  <si>
    <t>TDK</t>
  </si>
  <si>
    <t>microgate</t>
  </si>
  <si>
    <t>Sunltech</t>
  </si>
  <si>
    <t>Chlisin Elec</t>
  </si>
  <si>
    <t>SunLED</t>
  </si>
  <si>
    <t>Relac</t>
  </si>
  <si>
    <t>Panasonic, Yageo</t>
  </si>
  <si>
    <t>FOJAN</t>
  </si>
  <si>
    <t>Panasonic</t>
  </si>
  <si>
    <t>Stackpole Electronics</t>
  </si>
  <si>
    <t>XKB</t>
  </si>
  <si>
    <t>Monolithic Power Systems</t>
  </si>
  <si>
    <t>Maxim</t>
  </si>
  <si>
    <t>ON Semiconductor / Fairchild</t>
  </si>
  <si>
    <t>Texas Instruments</t>
  </si>
  <si>
    <t>Microchip</t>
  </si>
  <si>
    <t>Nordic Semiconductor</t>
  </si>
  <si>
    <t>STMicroelectronics</t>
  </si>
  <si>
    <t>AnaSem</t>
  </si>
  <si>
    <t>Yangxing Tech</t>
  </si>
  <si>
    <t>HCI</t>
  </si>
  <si>
    <t>Comment</t>
  </si>
  <si>
    <t>22uF</t>
  </si>
  <si>
    <t>0.1uF</t>
  </si>
  <si>
    <t>10uF</t>
  </si>
  <si>
    <t>20pF</t>
  </si>
  <si>
    <t>4.7uF</t>
  </si>
  <si>
    <t>1uF</t>
  </si>
  <si>
    <t>2.2uF</t>
  </si>
  <si>
    <t>1nF</t>
  </si>
  <si>
    <t>0.8pF</t>
  </si>
  <si>
    <t>2.2uH</t>
  </si>
  <si>
    <t>10uH</t>
  </si>
  <si>
    <t>15nH</t>
  </si>
  <si>
    <t>3.9nH</t>
  </si>
  <si>
    <t>6.8uH</t>
  </si>
  <si>
    <t>0.25R</t>
  </si>
  <si>
    <t>1K</t>
  </si>
  <si>
    <t>10K</t>
  </si>
  <si>
    <t>1R</t>
  </si>
  <si>
    <t>100K</t>
  </si>
  <si>
    <t>4.7K</t>
  </si>
  <si>
    <t>5.1K</t>
  </si>
  <si>
    <t>10.7K</t>
  </si>
  <si>
    <t>32.768kHz</t>
  </si>
  <si>
    <t>16MHz</t>
  </si>
  <si>
    <t>32MHz</t>
  </si>
  <si>
    <t>Quantity</t>
  </si>
  <si>
    <t>Custom</t>
  </si>
  <si>
    <t>---------</t>
  </si>
  <si>
    <t>----------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</si>
</sst>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h:mm:ss\ AM/PM;@"/>
  </numFmts>
  <fonts count="18" x14ac:knownFonts="1">
    <font>
      <sz val="11"/>
      <color theme="1"/>
      <name val="Calibri"/>
      <family val="2"/>
      <scheme val="minor"/>
    </font>
    <font>
      <sz val="10"/>
      <color indexed="13"/>
      <name val="Arial"/>
    </font>
    <font>
      <b/>
      <sz val="24"/>
      <color indexed="10"/>
      <name val="Arial"/>
      <family val="2"/>
    </font>
    <font>
      <b/>
      <sz val="12"/>
      <color indexed="13"/>
      <name val="Arial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</fills>
  <borders count="2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2" borderId="0" xfId="0" applyFont="1" applyFill="1" applyBorder="1" applyAlignment="1"/>
    <xf numFmtId="0" fontId="1" fillId="2" borderId="1" xfId="0" applyFont="1" applyFill="1" applyBorder="1" applyAlignment="1"/>
    <xf numFmtId="0" fontId="3" fillId="3" borderId="14" xfId="0" applyFont="1" applyFill="1" applyBorder="1" applyAlignment="1">
      <alignment vertical="center"/>
    </xf>
    <xf numFmtId="0" fontId="7" fillId="3" borderId="13" xfId="0" applyFont="1" applyFill="1" applyBorder="1" applyAlignment="1">
      <alignment vertical="center"/>
    </xf>
    <xf numFmtId="0" fontId="8" fillId="3" borderId="0" xfId="0" applyFont="1" applyFill="1" applyBorder="1" applyAlignment="1"/>
    <xf numFmtId="0" fontId="9" fillId="3" borderId="5" xfId="0" applyFont="1" applyFill="1" applyBorder="1" applyAlignment="1"/>
    <xf numFmtId="0" fontId="9" fillId="3" borderId="6" xfId="0" applyFont="1" applyFill="1" applyBorder="1" applyAlignment="1"/>
    <xf numFmtId="0" fontId="10" fillId="3" borderId="0" xfId="0" applyFont="1" applyFill="1" applyBorder="1" applyAlignment="1"/>
    <xf numFmtId="0" fontId="10" fillId="3" borderId="5" xfId="0" applyFont="1" applyFill="1" applyBorder="1" applyAlignment="1"/>
    <xf numFmtId="0" fontId="11" fillId="3" borderId="3" xfId="0" applyNumberFormat="1" applyFont="1" applyFill="1" applyBorder="1" applyAlignment="1" applyProtection="1">
      <alignment horizontal="left" vertical="top"/>
      <protection locked="0"/>
    </xf>
    <xf numFmtId="0" fontId="12" fillId="3" borderId="3" xfId="0" applyNumberFormat="1" applyFont="1" applyFill="1" applyBorder="1" applyAlignment="1" applyProtection="1">
      <alignment horizontal="left" vertical="top"/>
      <protection locked="0"/>
    </xf>
    <xf numFmtId="0" fontId="14" fillId="3" borderId="12" xfId="0" applyFont="1" applyFill="1" applyBorder="1" applyAlignment="1">
      <alignment vertical="center"/>
    </xf>
    <xf numFmtId="0" fontId="15" fillId="3" borderId="13" xfId="0" applyFont="1" applyFill="1" applyBorder="1" applyAlignment="1">
      <alignment vertical="center"/>
    </xf>
    <xf numFmtId="0" fontId="11" fillId="3" borderId="0" xfId="0" applyFont="1" applyFill="1" applyBorder="1" applyAlignment="1"/>
    <xf numFmtId="0" fontId="13" fillId="3" borderId="6" xfId="0" applyFont="1" applyFill="1" applyBorder="1" applyAlignment="1"/>
    <xf numFmtId="0" fontId="13" fillId="3" borderId="5" xfId="0" applyFont="1" applyFill="1" applyBorder="1" applyAlignment="1"/>
    <xf numFmtId="0" fontId="11" fillId="3" borderId="5" xfId="0" applyFont="1" applyFill="1" applyBorder="1" applyAlignment="1"/>
    <xf numFmtId="0" fontId="13" fillId="3" borderId="5" xfId="0" applyFont="1" applyFill="1" applyBorder="1" applyAlignment="1">
      <alignment horizontal="left"/>
    </xf>
    <xf numFmtId="0" fontId="16" fillId="3" borderId="0" xfId="0" applyFont="1" applyFill="1" applyBorder="1" applyAlignment="1"/>
    <xf numFmtId="0" fontId="13" fillId="3" borderId="1" xfId="0" applyFont="1" applyFill="1" applyBorder="1" applyAlignment="1">
      <alignment horizontal="left"/>
    </xf>
    <xf numFmtId="164" fontId="13" fillId="3" borderId="5" xfId="0" applyNumberFormat="1" applyFont="1" applyFill="1" applyBorder="1" applyAlignment="1">
      <alignment horizontal="left"/>
    </xf>
    <xf numFmtId="0" fontId="1" fillId="2" borderId="0" xfId="0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6" fillId="3" borderId="8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13" fillId="3" borderId="17" xfId="0" applyNumberFormat="1" applyFont="1" applyFill="1" applyBorder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11" fillId="3" borderId="0" xfId="0" applyNumberFormat="1" applyFont="1" applyFill="1" applyBorder="1" applyAlignment="1" applyProtection="1">
      <alignment vertical="center"/>
      <protection locked="0"/>
    </xf>
    <xf numFmtId="0" fontId="12" fillId="3" borderId="0" xfId="0" applyNumberFormat="1" applyFont="1" applyFill="1" applyBorder="1" applyAlignment="1" applyProtection="1">
      <alignment horizontal="left" vertical="center"/>
      <protection locked="0"/>
    </xf>
    <xf numFmtId="0" fontId="11" fillId="3" borderId="8" xfId="0" applyNumberFormat="1" applyFont="1" applyFill="1" applyBorder="1" applyAlignment="1" applyProtection="1">
      <alignment horizontal="center" vertical="center"/>
      <protection locked="0"/>
    </xf>
    <xf numFmtId="0" fontId="11" fillId="5" borderId="16" xfId="0" applyFont="1" applyFill="1" applyBorder="1" applyAlignment="1">
      <alignment horizontal="center" vertical="center"/>
    </xf>
    <xf numFmtId="0" fontId="11" fillId="5" borderId="7" xfId="0" applyFont="1" applyFill="1" applyBorder="1" applyAlignment="1">
      <alignment horizontal="center" vertical="center"/>
    </xf>
    <xf numFmtId="0" fontId="11" fillId="5" borderId="15" xfId="0" applyFont="1" applyFill="1" applyBorder="1" applyAlignment="1">
      <alignment horizontal="center" vertical="center"/>
    </xf>
    <xf numFmtId="0" fontId="13" fillId="5" borderId="16" xfId="0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center" vertical="center" wrapText="1"/>
    </xf>
    <xf numFmtId="0" fontId="12" fillId="4" borderId="7" xfId="0" applyFont="1" applyFill="1" applyBorder="1" applyAlignment="1">
      <alignment horizontal="center" vertical="center" wrapText="1"/>
    </xf>
    <xf numFmtId="0" fontId="17" fillId="3" borderId="0" xfId="0" applyFont="1" applyFill="1" applyBorder="1" applyAlignment="1">
      <alignment vertical="center"/>
    </xf>
    <xf numFmtId="0" fontId="15" fillId="3" borderId="13" xfId="0" quotePrefix="1" applyFont="1" applyFill="1" applyBorder="1" applyAlignment="1">
      <alignment vertical="center"/>
    </xf>
    <xf numFmtId="0" fontId="15" fillId="3" borderId="0" xfId="0" quotePrefix="1" applyFont="1" applyFill="1" applyBorder="1" applyAlignment="1">
      <alignment horizontal="left"/>
    </xf>
    <xf numFmtId="0" fontId="15" fillId="3" borderId="6" xfId="0" quotePrefix="1" applyFont="1" applyFill="1" applyBorder="1" applyAlignment="1">
      <alignment horizontal="left"/>
    </xf>
    <xf numFmtId="0" fontId="15" fillId="3" borderId="5" xfId="0" quotePrefix="1" applyFont="1" applyFill="1" applyBorder="1" applyAlignment="1">
      <alignment horizontal="left"/>
    </xf>
    <xf numFmtId="0" fontId="12" fillId="4" borderId="7" xfId="0" quotePrefix="1" applyFont="1" applyFill="1" applyBorder="1" applyAlignment="1">
      <alignment horizontal="center" vertical="center" wrapText="1"/>
    </xf>
    <xf numFmtId="0" fontId="12" fillId="2" borderId="7" xfId="0" quotePrefix="1" applyFont="1" applyFill="1" applyBorder="1" applyAlignment="1">
      <alignment horizontal="center" vertical="center" wrapText="1"/>
    </xf>
    <xf numFmtId="0" fontId="17" fillId="0" borderId="15" xfId="0" applyFont="1" applyBorder="1" applyAlignment="1">
      <alignment horizontal="center" vertical="center"/>
    </xf>
    <xf numFmtId="0" fontId="17" fillId="4" borderId="15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" xfId="0" applyBorder="1" applyAlignment="1">
      <alignment horizontal="center"/>
    </xf>
    <xf numFmtId="0" fontId="17" fillId="3" borderId="1" xfId="0" applyFont="1" applyFill="1" applyBorder="1" applyAlignment="1">
      <alignment horizontal="center"/>
    </xf>
    <xf numFmtId="0" fontId="17" fillId="3" borderId="18" xfId="0" applyFont="1" applyFill="1" applyBorder="1" applyAlignment="1">
      <alignment horizontal="center"/>
    </xf>
    <xf numFmtId="0" fontId="17" fillId="3" borderId="3" xfId="0" applyFont="1" applyFill="1" applyBorder="1" applyAlignment="1">
      <alignment horizontal="center"/>
    </xf>
    <xf numFmtId="0" fontId="17" fillId="3" borderId="19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9525</xdr:colOff>
      <xdr:row>2</xdr:row>
      <xdr:rowOff>10417</xdr:rowOff>
    </xdr:from>
    <xdr:to>
      <xdr:col>8</xdr:col>
      <xdr:colOff>1724025</xdr:colOff>
      <xdr:row>7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315950" y="600967"/>
          <a:ext cx="1714500" cy="11040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57"/>
  <sheetViews>
    <sheetView tabSelected="1" workbookViewId="0">
      <selection activeCell="D22" sqref="D22"/>
    </sheetView>
  </sheetViews>
  <sheetFormatPr defaultRowHeight="15" x14ac:dyDescent="0.25"/>
  <cols>
    <col min="2" max="2" width="3.140625" style="29" customWidth="1"/>
    <col min="3" max="3" width="36" bestFit="1" customWidth="1"/>
    <col min="4" max="4" width="30.5703125" customWidth="1"/>
    <col min="5" max="5" width="26.5703125" bestFit="1" customWidth="1"/>
    <col min="6" max="6" width="29.42578125" bestFit="1" customWidth="1"/>
    <col min="7" max="7" width="18.85546875" bestFit="1" customWidth="1"/>
    <col min="8" max="8" width="29.42578125" bestFit="1" customWidth="1"/>
    <col min="9" max="9" width="26.85546875" bestFit="1" customWidth="1"/>
  </cols>
  <sheetData>
    <row r="1" spans="1:9" ht="15.75" thickBot="1" x14ac:dyDescent="0.3">
      <c r="A1" s="1"/>
      <c r="B1" s="22"/>
      <c r="C1" s="2"/>
      <c r="D1" s="2"/>
      <c r="E1" s="2"/>
      <c r="F1" s="2"/>
      <c r="G1" s="2"/>
      <c r="H1" s="48"/>
      <c r="I1" s="49"/>
    </row>
    <row r="2" spans="1:9" ht="32.25" thickBot="1" x14ac:dyDescent="0.3">
      <c r="A2" s="1"/>
      <c r="B2" s="23"/>
      <c r="C2" s="12" t="s">
        <v>0</v>
      </c>
      <c r="D2" s="12"/>
      <c r="E2" s="40" t="s">
        <v>7</v>
      </c>
      <c r="F2" s="13"/>
      <c r="G2" s="4"/>
      <c r="H2" s="4"/>
      <c r="I2" s="3"/>
    </row>
    <row r="3" spans="1:9" ht="15.75" x14ac:dyDescent="0.25">
      <c r="A3" s="1"/>
      <c r="B3" s="24"/>
      <c r="C3" s="14" t="s">
        <v>1</v>
      </c>
      <c r="D3" s="14"/>
      <c r="E3" s="41" t="s">
        <v>8</v>
      </c>
      <c r="F3" s="14"/>
      <c r="G3" s="5"/>
      <c r="H3" s="5"/>
      <c r="I3" s="50"/>
    </row>
    <row r="4" spans="1:9" ht="15.75" x14ac:dyDescent="0.25">
      <c r="A4" s="1"/>
      <c r="B4" s="24"/>
      <c r="C4" s="14" t="s">
        <v>2</v>
      </c>
      <c r="D4" s="14"/>
      <c r="E4" s="42" t="s">
        <v>8</v>
      </c>
      <c r="F4" s="15"/>
      <c r="G4" s="7"/>
      <c r="H4" s="7"/>
      <c r="I4" s="51"/>
    </row>
    <row r="5" spans="1:9" ht="15.75" x14ac:dyDescent="0.25">
      <c r="A5" s="1"/>
      <c r="B5" s="24"/>
      <c r="C5" s="14" t="s">
        <v>3</v>
      </c>
      <c r="D5" s="14"/>
      <c r="E5" s="43" t="s">
        <v>9</v>
      </c>
      <c r="F5" s="16"/>
      <c r="G5" s="6"/>
      <c r="H5" s="6"/>
      <c r="I5" s="51"/>
    </row>
    <row r="6" spans="1:9" x14ac:dyDescent="0.25">
      <c r="A6" s="1"/>
      <c r="B6" s="25"/>
      <c r="C6" s="17"/>
      <c r="D6" s="17"/>
      <c r="E6" s="18"/>
      <c r="F6" s="16"/>
      <c r="G6" s="6"/>
      <c r="H6" s="6"/>
      <c r="I6" s="51"/>
    </row>
    <row r="7" spans="1:9" x14ac:dyDescent="0.25">
      <c r="A7" s="1"/>
      <c r="B7" s="26"/>
      <c r="C7" s="19"/>
      <c r="D7" s="19"/>
      <c r="E7" s="20"/>
      <c r="F7" s="19"/>
      <c r="G7" s="8"/>
      <c r="H7" s="8"/>
      <c r="I7" s="51"/>
    </row>
    <row r="8" spans="1:9" x14ac:dyDescent="0.25">
      <c r="A8" s="1"/>
      <c r="B8" s="27"/>
      <c r="C8" s="16"/>
      <c r="D8" s="16"/>
      <c r="E8" s="21"/>
      <c r="F8" s="19"/>
      <c r="G8" s="8"/>
      <c r="H8" s="9"/>
      <c r="I8" s="51"/>
    </row>
    <row r="9" spans="1:9" x14ac:dyDescent="0.25">
      <c r="A9" s="1"/>
      <c r="B9" s="33" t="s">
        <v>4</v>
      </c>
      <c r="C9" s="34" t="s">
        <v>10</v>
      </c>
      <c r="D9" s="34" t="s">
        <v>57</v>
      </c>
      <c r="E9" s="34" t="s">
        <v>104</v>
      </c>
      <c r="F9" s="34" t="s">
        <v>137</v>
      </c>
      <c r="G9" s="34" t="s">
        <v>169</v>
      </c>
      <c r="H9" s="34" t="s">
        <v>201</v>
      </c>
      <c r="I9" s="35" t="s">
        <v>227</v>
      </c>
    </row>
    <row r="10" spans="1:9" ht="38.25" x14ac:dyDescent="0.25">
      <c r="A10" s="1"/>
      <c r="B10" s="36">
        <f>ROW(B10) - ROW($B$9)</f>
        <v>1</v>
      </c>
      <c r="C10" s="37" t="s">
        <v>11</v>
      </c>
      <c r="D10" s="37" t="s">
        <v>58</v>
      </c>
      <c r="E10" s="37" t="s">
        <v>105</v>
      </c>
      <c r="F10" s="37" t="s">
        <v>138</v>
      </c>
      <c r="G10" s="37" t="s">
        <v>170</v>
      </c>
      <c r="H10" s="37" t="s">
        <v>202</v>
      </c>
      <c r="I10" s="46">
        <v>3</v>
      </c>
    </row>
    <row r="11" spans="1:9" ht="38.25" x14ac:dyDescent="0.25">
      <c r="A11" s="1"/>
      <c r="B11" s="36">
        <f t="shared" ref="B11:B55" si="0">ROW(B11) - ROW($B$9)</f>
        <v>2</v>
      </c>
      <c r="C11" s="38" t="s">
        <v>12</v>
      </c>
      <c r="D11" s="38" t="s">
        <v>59</v>
      </c>
      <c r="E11" s="38" t="s">
        <v>106</v>
      </c>
      <c r="F11" s="38" t="s">
        <v>139</v>
      </c>
      <c r="G11" s="38" t="s">
        <v>170</v>
      </c>
      <c r="H11" s="38" t="s">
        <v>203</v>
      </c>
      <c r="I11" s="47">
        <v>24</v>
      </c>
    </row>
    <row r="12" spans="1:9" ht="25.5" x14ac:dyDescent="0.25">
      <c r="A12" s="1"/>
      <c r="B12" s="36">
        <f>ROW(B12) - ROW($B$9)</f>
        <v>3</v>
      </c>
      <c r="C12" s="37" t="s">
        <v>13</v>
      </c>
      <c r="D12" s="37" t="s">
        <v>60</v>
      </c>
      <c r="E12" s="37" t="s">
        <v>107</v>
      </c>
      <c r="F12" s="37" t="s">
        <v>140</v>
      </c>
      <c r="G12" s="37" t="s">
        <v>171</v>
      </c>
      <c r="H12" s="37" t="s">
        <v>204</v>
      </c>
      <c r="I12" s="46">
        <v>1</v>
      </c>
    </row>
    <row r="13" spans="1:9" ht="25.5" x14ac:dyDescent="0.25">
      <c r="A13" s="1"/>
      <c r="B13" s="36">
        <f t="shared" si="0"/>
        <v>4</v>
      </c>
      <c r="C13" s="38" t="s">
        <v>14</v>
      </c>
      <c r="D13" s="38" t="s">
        <v>61</v>
      </c>
      <c r="E13" s="38" t="s">
        <v>106</v>
      </c>
      <c r="F13" s="38" t="s">
        <v>141</v>
      </c>
      <c r="G13" s="38" t="s">
        <v>172</v>
      </c>
      <c r="H13" s="38" t="s">
        <v>205</v>
      </c>
      <c r="I13" s="47">
        <v>8</v>
      </c>
    </row>
    <row r="14" spans="1:9" ht="25.5" x14ac:dyDescent="0.25">
      <c r="A14" s="1"/>
      <c r="B14" s="36">
        <f>ROW(B14) - ROW($B$9)</f>
        <v>5</v>
      </c>
      <c r="C14" s="37" t="s">
        <v>15</v>
      </c>
      <c r="D14" s="37" t="s">
        <v>62</v>
      </c>
      <c r="E14" s="37" t="s">
        <v>106</v>
      </c>
      <c r="F14" s="37" t="s">
        <v>142</v>
      </c>
      <c r="G14" s="37" t="s">
        <v>173</v>
      </c>
      <c r="H14" s="37" t="s">
        <v>206</v>
      </c>
      <c r="I14" s="46">
        <v>3</v>
      </c>
    </row>
    <row r="15" spans="1:9" ht="25.5" x14ac:dyDescent="0.25">
      <c r="A15" s="1"/>
      <c r="B15" s="36">
        <f t="shared" si="0"/>
        <v>6</v>
      </c>
      <c r="C15" s="38" t="s">
        <v>16</v>
      </c>
      <c r="D15" s="38" t="s">
        <v>63</v>
      </c>
      <c r="E15" s="38" t="s">
        <v>106</v>
      </c>
      <c r="F15" s="38" t="s">
        <v>143</v>
      </c>
      <c r="G15" s="38" t="s">
        <v>172</v>
      </c>
      <c r="H15" s="38" t="s">
        <v>207</v>
      </c>
      <c r="I15" s="47">
        <v>8</v>
      </c>
    </row>
    <row r="16" spans="1:9" ht="25.5" x14ac:dyDescent="0.25">
      <c r="A16" s="1"/>
      <c r="B16" s="36">
        <f>ROW(B16) - ROW($B$9)</f>
        <v>7</v>
      </c>
      <c r="C16" s="37" t="s">
        <v>17</v>
      </c>
      <c r="D16" s="37" t="s">
        <v>64</v>
      </c>
      <c r="E16" s="37" t="s">
        <v>106</v>
      </c>
      <c r="F16" s="37" t="s">
        <v>144</v>
      </c>
      <c r="G16" s="37" t="s">
        <v>170</v>
      </c>
      <c r="H16" s="37" t="s">
        <v>208</v>
      </c>
      <c r="I16" s="46">
        <v>1</v>
      </c>
    </row>
    <row r="17" spans="1:9" ht="38.25" x14ac:dyDescent="0.25">
      <c r="A17" s="1"/>
      <c r="B17" s="36">
        <f t="shared" si="0"/>
        <v>8</v>
      </c>
      <c r="C17" s="38" t="s">
        <v>18</v>
      </c>
      <c r="D17" s="38" t="s">
        <v>65</v>
      </c>
      <c r="E17" s="38" t="s">
        <v>106</v>
      </c>
      <c r="F17" s="38" t="s">
        <v>145</v>
      </c>
      <c r="G17" s="38" t="s">
        <v>172</v>
      </c>
      <c r="H17" s="38" t="s">
        <v>209</v>
      </c>
      <c r="I17" s="47">
        <v>2</v>
      </c>
    </row>
    <row r="18" spans="1:9" ht="25.5" x14ac:dyDescent="0.25">
      <c r="A18" s="1"/>
      <c r="B18" s="36">
        <f>ROW(B18) - ROW($B$9)</f>
        <v>9</v>
      </c>
      <c r="C18" s="37" t="s">
        <v>19</v>
      </c>
      <c r="D18" s="37" t="s">
        <v>66</v>
      </c>
      <c r="E18" s="37" t="s">
        <v>106</v>
      </c>
      <c r="F18" s="37" t="s">
        <v>146</v>
      </c>
      <c r="G18" s="37" t="s">
        <v>170</v>
      </c>
      <c r="H18" s="37" t="s">
        <v>210</v>
      </c>
      <c r="I18" s="46">
        <v>1</v>
      </c>
    </row>
    <row r="19" spans="1:9" ht="25.5" x14ac:dyDescent="0.25">
      <c r="A19" s="1"/>
      <c r="B19" s="36">
        <f t="shared" si="0"/>
        <v>10</v>
      </c>
      <c r="C19" s="38" t="s">
        <v>20</v>
      </c>
      <c r="D19" s="38" t="s">
        <v>67</v>
      </c>
      <c r="E19" s="38" t="s">
        <v>228</v>
      </c>
      <c r="F19" s="38" t="s">
        <v>108</v>
      </c>
      <c r="G19" s="38" t="s">
        <v>174</v>
      </c>
      <c r="H19" s="44" t="s">
        <v>229</v>
      </c>
      <c r="I19" s="47">
        <v>1</v>
      </c>
    </row>
    <row r="20" spans="1:9" ht="25.5" x14ac:dyDescent="0.25">
      <c r="A20" s="1"/>
      <c r="B20" s="36">
        <f>ROW(B20) - ROW($B$9)</f>
        <v>11</v>
      </c>
      <c r="C20" s="37" t="s">
        <v>21</v>
      </c>
      <c r="D20" s="37" t="s">
        <v>68</v>
      </c>
      <c r="E20" s="37" t="s">
        <v>228</v>
      </c>
      <c r="F20" s="37" t="s">
        <v>109</v>
      </c>
      <c r="G20" s="37" t="s">
        <v>175</v>
      </c>
      <c r="H20" s="45" t="s">
        <v>229</v>
      </c>
      <c r="I20" s="46">
        <v>1</v>
      </c>
    </row>
    <row r="21" spans="1:9" ht="25.5" x14ac:dyDescent="0.25">
      <c r="A21" s="1"/>
      <c r="B21" s="36">
        <f t="shared" si="0"/>
        <v>12</v>
      </c>
      <c r="C21" s="38" t="s">
        <v>22</v>
      </c>
      <c r="D21" s="38" t="s">
        <v>69</v>
      </c>
      <c r="E21" s="38" t="s">
        <v>228</v>
      </c>
      <c r="F21" s="38" t="s">
        <v>110</v>
      </c>
      <c r="G21" s="38" t="s">
        <v>176</v>
      </c>
      <c r="H21" s="44" t="s">
        <v>229</v>
      </c>
      <c r="I21" s="47">
        <v>1</v>
      </c>
    </row>
    <row r="22" spans="1:9" ht="89.25" x14ac:dyDescent="0.25">
      <c r="A22" s="1"/>
      <c r="B22" s="36">
        <f>ROW(B22) - ROW($B$9)</f>
        <v>13</v>
      </c>
      <c r="C22" s="37" t="s">
        <v>23</v>
      </c>
      <c r="D22" s="37" t="s">
        <v>70</v>
      </c>
      <c r="E22" s="37" t="s">
        <v>228</v>
      </c>
      <c r="F22" s="37" t="s">
        <v>111</v>
      </c>
      <c r="G22" s="37" t="s">
        <v>177</v>
      </c>
      <c r="H22" s="45" t="s">
        <v>229</v>
      </c>
      <c r="I22" s="46">
        <v>1</v>
      </c>
    </row>
    <row r="23" spans="1:9" ht="38.25" x14ac:dyDescent="0.25">
      <c r="A23" s="1"/>
      <c r="B23" s="36">
        <f t="shared" si="0"/>
        <v>14</v>
      </c>
      <c r="C23" s="38" t="s">
        <v>24</v>
      </c>
      <c r="D23" s="38" t="s">
        <v>71</v>
      </c>
      <c r="E23" s="38" t="s">
        <v>112</v>
      </c>
      <c r="F23" s="38" t="s">
        <v>147</v>
      </c>
      <c r="G23" s="38" t="s">
        <v>178</v>
      </c>
      <c r="H23" s="44" t="s">
        <v>229</v>
      </c>
      <c r="I23" s="47">
        <v>1</v>
      </c>
    </row>
    <row r="24" spans="1:9" ht="25.5" x14ac:dyDescent="0.25">
      <c r="A24" s="1"/>
      <c r="B24" s="36">
        <f>ROW(B24) - ROW($B$9)</f>
        <v>15</v>
      </c>
      <c r="C24" s="37" t="s">
        <v>25</v>
      </c>
      <c r="D24" s="37" t="s">
        <v>72</v>
      </c>
      <c r="E24" s="37" t="s">
        <v>228</v>
      </c>
      <c r="F24" s="37" t="s">
        <v>113</v>
      </c>
      <c r="G24" s="37" t="s">
        <v>174</v>
      </c>
      <c r="H24" s="45" t="s">
        <v>229</v>
      </c>
      <c r="I24" s="46">
        <v>1</v>
      </c>
    </row>
    <row r="25" spans="1:9" ht="38.25" x14ac:dyDescent="0.25">
      <c r="A25" s="1"/>
      <c r="B25" s="36">
        <f t="shared" si="0"/>
        <v>16</v>
      </c>
      <c r="C25" s="38" t="s">
        <v>26</v>
      </c>
      <c r="D25" s="38" t="s">
        <v>73</v>
      </c>
      <c r="E25" s="38" t="s">
        <v>114</v>
      </c>
      <c r="F25" s="38"/>
      <c r="G25" s="38" t="s">
        <v>179</v>
      </c>
      <c r="H25" s="44" t="s">
        <v>229</v>
      </c>
      <c r="I25" s="47">
        <v>1</v>
      </c>
    </row>
    <row r="26" spans="1:9" ht="25.5" x14ac:dyDescent="0.25">
      <c r="A26" s="1"/>
      <c r="B26" s="36">
        <f>ROW(B26) - ROW($B$9)</f>
        <v>17</v>
      </c>
      <c r="C26" s="37" t="s">
        <v>27</v>
      </c>
      <c r="D26" s="37" t="s">
        <v>74</v>
      </c>
      <c r="E26" s="37" t="s">
        <v>228</v>
      </c>
      <c r="F26" s="37" t="s">
        <v>115</v>
      </c>
      <c r="G26" s="37" t="s">
        <v>173</v>
      </c>
      <c r="H26" s="37" t="s">
        <v>211</v>
      </c>
      <c r="I26" s="46">
        <v>1</v>
      </c>
    </row>
    <row r="27" spans="1:9" ht="25.5" x14ac:dyDescent="0.25">
      <c r="A27" s="1"/>
      <c r="B27" s="36">
        <f t="shared" si="0"/>
        <v>18</v>
      </c>
      <c r="C27" s="38" t="s">
        <v>28</v>
      </c>
      <c r="D27" s="38" t="s">
        <v>75</v>
      </c>
      <c r="E27" s="38" t="s">
        <v>228</v>
      </c>
      <c r="F27" s="38" t="s">
        <v>116</v>
      </c>
      <c r="G27" s="38" t="s">
        <v>180</v>
      </c>
      <c r="H27" s="38" t="s">
        <v>212</v>
      </c>
      <c r="I27" s="47">
        <v>1</v>
      </c>
    </row>
    <row r="28" spans="1:9" ht="25.5" x14ac:dyDescent="0.25">
      <c r="A28" s="1"/>
      <c r="B28" s="36">
        <f>ROW(B28) - ROW($B$9)</f>
        <v>19</v>
      </c>
      <c r="C28" s="37" t="s">
        <v>29</v>
      </c>
      <c r="D28" s="37" t="s">
        <v>76</v>
      </c>
      <c r="E28" s="37" t="s">
        <v>117</v>
      </c>
      <c r="F28" s="37" t="s">
        <v>148</v>
      </c>
      <c r="G28" s="37" t="s">
        <v>181</v>
      </c>
      <c r="H28" s="37" t="s">
        <v>212</v>
      </c>
      <c r="I28" s="46">
        <v>1</v>
      </c>
    </row>
    <row r="29" spans="1:9" ht="38.25" x14ac:dyDescent="0.25">
      <c r="A29" s="1"/>
      <c r="B29" s="36">
        <f t="shared" si="0"/>
        <v>20</v>
      </c>
      <c r="C29" s="38" t="s">
        <v>30</v>
      </c>
      <c r="D29" s="38" t="s">
        <v>77</v>
      </c>
      <c r="E29" s="38" t="s">
        <v>228</v>
      </c>
      <c r="F29" s="38" t="s">
        <v>118</v>
      </c>
      <c r="G29" s="38" t="s">
        <v>182</v>
      </c>
      <c r="H29" s="38" t="s">
        <v>213</v>
      </c>
      <c r="I29" s="47">
        <v>1</v>
      </c>
    </row>
    <row r="30" spans="1:9" ht="63.75" x14ac:dyDescent="0.25">
      <c r="A30" s="1"/>
      <c r="B30" s="36">
        <f>ROW(B30) - ROW($B$9)</f>
        <v>21</v>
      </c>
      <c r="C30" s="37" t="s">
        <v>31</v>
      </c>
      <c r="D30" s="37" t="s">
        <v>78</v>
      </c>
      <c r="E30" s="37" t="s">
        <v>119</v>
      </c>
      <c r="F30" s="37" t="s">
        <v>149</v>
      </c>
      <c r="G30" s="37" t="s">
        <v>170</v>
      </c>
      <c r="H30" s="37" t="s">
        <v>214</v>
      </c>
      <c r="I30" s="46">
        <v>1</v>
      </c>
    </row>
    <row r="31" spans="1:9" ht="76.5" x14ac:dyDescent="0.25">
      <c r="A31" s="1"/>
      <c r="B31" s="36">
        <f t="shared" si="0"/>
        <v>22</v>
      </c>
      <c r="C31" s="38" t="s">
        <v>32</v>
      </c>
      <c r="D31" s="38" t="s">
        <v>79</v>
      </c>
      <c r="E31" s="38" t="s">
        <v>119</v>
      </c>
      <c r="F31" s="38" t="s">
        <v>150</v>
      </c>
      <c r="G31" s="38" t="s">
        <v>170</v>
      </c>
      <c r="H31" s="44" t="s">
        <v>230</v>
      </c>
      <c r="I31" s="47">
        <v>1</v>
      </c>
    </row>
    <row r="32" spans="1:9" ht="25.5" x14ac:dyDescent="0.25">
      <c r="A32" s="1"/>
      <c r="B32" s="36">
        <f>ROW(B32) - ROW($B$9)</f>
        <v>23</v>
      </c>
      <c r="C32" s="37" t="s">
        <v>33</v>
      </c>
      <c r="D32" s="37" t="s">
        <v>80</v>
      </c>
      <c r="E32" s="37" t="s">
        <v>228</v>
      </c>
      <c r="F32" s="37" t="s">
        <v>120</v>
      </c>
      <c r="G32" s="37" t="s">
        <v>183</v>
      </c>
      <c r="H32" s="37" t="s">
        <v>215</v>
      </c>
      <c r="I32" s="46">
        <v>1</v>
      </c>
    </row>
    <row r="33" spans="1:9" ht="25.5" x14ac:dyDescent="0.25">
      <c r="A33" s="1"/>
      <c r="B33" s="36">
        <f t="shared" si="0"/>
        <v>24</v>
      </c>
      <c r="C33" s="38" t="s">
        <v>34</v>
      </c>
      <c r="D33" s="38" t="s">
        <v>81</v>
      </c>
      <c r="E33" s="38" t="s">
        <v>121</v>
      </c>
      <c r="F33" s="38" t="s">
        <v>151</v>
      </c>
      <c r="G33" s="38" t="s">
        <v>184</v>
      </c>
      <c r="H33" s="44" t="s">
        <v>230</v>
      </c>
      <c r="I33" s="47">
        <v>2</v>
      </c>
    </row>
    <row r="34" spans="1:9" ht="25.5" x14ac:dyDescent="0.25">
      <c r="A34" s="1"/>
      <c r="B34" s="36">
        <f>ROW(B34) - ROW($B$9)</f>
        <v>25</v>
      </c>
      <c r="C34" s="37" t="s">
        <v>35</v>
      </c>
      <c r="D34" s="37" t="s">
        <v>82</v>
      </c>
      <c r="E34" s="37" t="s">
        <v>121</v>
      </c>
      <c r="F34" s="37" t="s">
        <v>152</v>
      </c>
      <c r="G34" s="37" t="s">
        <v>184</v>
      </c>
      <c r="H34" s="45" t="s">
        <v>230</v>
      </c>
      <c r="I34" s="46">
        <v>1</v>
      </c>
    </row>
    <row r="35" spans="1:9" ht="25.5" x14ac:dyDescent="0.25">
      <c r="A35" s="1"/>
      <c r="B35" s="36">
        <f t="shared" si="0"/>
        <v>26</v>
      </c>
      <c r="C35" s="38" t="s">
        <v>36</v>
      </c>
      <c r="D35" s="38" t="s">
        <v>83</v>
      </c>
      <c r="E35" s="38" t="s">
        <v>122</v>
      </c>
      <c r="F35" s="38" t="s">
        <v>153</v>
      </c>
      <c r="G35" s="38" t="s">
        <v>185</v>
      </c>
      <c r="H35" s="38" t="s">
        <v>216</v>
      </c>
      <c r="I35" s="47">
        <v>1</v>
      </c>
    </row>
    <row r="36" spans="1:9" ht="38.25" x14ac:dyDescent="0.25">
      <c r="A36" s="1"/>
      <c r="B36" s="36">
        <f>ROW(B36) - ROW($B$9)</f>
        <v>27</v>
      </c>
      <c r="C36" s="37" t="s">
        <v>37</v>
      </c>
      <c r="D36" s="37" t="s">
        <v>84</v>
      </c>
      <c r="E36" s="37" t="s">
        <v>123</v>
      </c>
      <c r="F36" s="37" t="s">
        <v>154</v>
      </c>
      <c r="G36" s="37" t="s">
        <v>186</v>
      </c>
      <c r="H36" s="37" t="s">
        <v>217</v>
      </c>
      <c r="I36" s="46">
        <v>4</v>
      </c>
    </row>
    <row r="37" spans="1:9" ht="25.5" x14ac:dyDescent="0.25">
      <c r="A37" s="1"/>
      <c r="B37" s="36">
        <f t="shared" si="0"/>
        <v>28</v>
      </c>
      <c r="C37" s="38" t="s">
        <v>38</v>
      </c>
      <c r="D37" s="38" t="s">
        <v>85</v>
      </c>
      <c r="E37" s="38" t="s">
        <v>123</v>
      </c>
      <c r="F37" s="38" t="s">
        <v>155</v>
      </c>
      <c r="G37" s="38" t="s">
        <v>172</v>
      </c>
      <c r="H37" s="38" t="s">
        <v>218</v>
      </c>
      <c r="I37" s="47">
        <v>10</v>
      </c>
    </row>
    <row r="38" spans="1:9" ht="51" x14ac:dyDescent="0.25">
      <c r="A38" s="1"/>
      <c r="B38" s="36">
        <f>ROW(B38) - ROW($B$9)</f>
        <v>29</v>
      </c>
      <c r="C38" s="37" t="s">
        <v>39</v>
      </c>
      <c r="D38" s="37" t="s">
        <v>86</v>
      </c>
      <c r="E38" s="37" t="s">
        <v>123</v>
      </c>
      <c r="F38" s="37" t="s">
        <v>156</v>
      </c>
      <c r="G38" s="37" t="s">
        <v>187</v>
      </c>
      <c r="H38" s="37" t="s">
        <v>219</v>
      </c>
      <c r="I38" s="46">
        <v>1</v>
      </c>
    </row>
    <row r="39" spans="1:9" ht="25.5" x14ac:dyDescent="0.25">
      <c r="A39" s="1"/>
      <c r="B39" s="36">
        <f t="shared" si="0"/>
        <v>30</v>
      </c>
      <c r="C39" s="38" t="s">
        <v>40</v>
      </c>
      <c r="D39" s="38" t="s">
        <v>87</v>
      </c>
      <c r="E39" s="38" t="s">
        <v>123</v>
      </c>
      <c r="F39" s="38" t="s">
        <v>157</v>
      </c>
      <c r="G39" s="38" t="s">
        <v>188</v>
      </c>
      <c r="H39" s="38" t="s">
        <v>220</v>
      </c>
      <c r="I39" s="47">
        <v>7</v>
      </c>
    </row>
    <row r="40" spans="1:9" ht="25.5" x14ac:dyDescent="0.25">
      <c r="A40" s="1"/>
      <c r="B40" s="36">
        <f>ROW(B40) - ROW($B$9)</f>
        <v>31</v>
      </c>
      <c r="C40" s="37" t="s">
        <v>41</v>
      </c>
      <c r="D40" s="37" t="s">
        <v>88</v>
      </c>
      <c r="E40" s="37" t="s">
        <v>123</v>
      </c>
      <c r="F40" s="37" t="s">
        <v>158</v>
      </c>
      <c r="G40" s="37" t="s">
        <v>188</v>
      </c>
      <c r="H40" s="37" t="s">
        <v>221</v>
      </c>
      <c r="I40" s="46">
        <v>2</v>
      </c>
    </row>
    <row r="41" spans="1:9" ht="25.5" x14ac:dyDescent="0.25">
      <c r="A41" s="1"/>
      <c r="B41" s="36">
        <f t="shared" si="0"/>
        <v>32</v>
      </c>
      <c r="C41" s="38" t="s">
        <v>42</v>
      </c>
      <c r="D41" s="38" t="s">
        <v>89</v>
      </c>
      <c r="E41" s="38" t="s">
        <v>122</v>
      </c>
      <c r="F41" s="38" t="s">
        <v>159</v>
      </c>
      <c r="G41" s="38" t="s">
        <v>189</v>
      </c>
      <c r="H41" s="38" t="s">
        <v>222</v>
      </c>
      <c r="I41" s="47">
        <v>2</v>
      </c>
    </row>
    <row r="42" spans="1:9" ht="38.25" x14ac:dyDescent="0.25">
      <c r="A42" s="1"/>
      <c r="B42" s="36">
        <f>ROW(B42) - ROW($B$9)</f>
        <v>33</v>
      </c>
      <c r="C42" s="37" t="s">
        <v>43</v>
      </c>
      <c r="D42" s="37" t="s">
        <v>90</v>
      </c>
      <c r="E42" s="37" t="s">
        <v>123</v>
      </c>
      <c r="F42" s="37" t="s">
        <v>160</v>
      </c>
      <c r="G42" s="37" t="s">
        <v>172</v>
      </c>
      <c r="H42" s="37" t="s">
        <v>223</v>
      </c>
      <c r="I42" s="46">
        <v>1</v>
      </c>
    </row>
    <row r="43" spans="1:9" x14ac:dyDescent="0.25">
      <c r="A43" s="1"/>
      <c r="B43" s="36">
        <f t="shared" si="0"/>
        <v>34</v>
      </c>
      <c r="C43" s="38" t="s">
        <v>44</v>
      </c>
      <c r="D43" s="38" t="s">
        <v>91</v>
      </c>
      <c r="E43" s="38" t="s">
        <v>124</v>
      </c>
      <c r="F43" s="44" t="s">
        <v>230</v>
      </c>
      <c r="G43" s="44" t="s">
        <v>230</v>
      </c>
      <c r="H43" s="44" t="s">
        <v>230</v>
      </c>
      <c r="I43" s="47">
        <v>3</v>
      </c>
    </row>
    <row r="44" spans="1:9" ht="51" x14ac:dyDescent="0.25">
      <c r="A44" s="1"/>
      <c r="B44" s="36">
        <f>ROW(B44) - ROW($B$9)</f>
        <v>35</v>
      </c>
      <c r="C44" s="37" t="s">
        <v>45</v>
      </c>
      <c r="D44" s="37" t="s">
        <v>92</v>
      </c>
      <c r="E44" s="37" t="s">
        <v>228</v>
      </c>
      <c r="F44" s="37" t="s">
        <v>125</v>
      </c>
      <c r="G44" s="37" t="s">
        <v>190</v>
      </c>
      <c r="H44" s="45" t="s">
        <v>230</v>
      </c>
      <c r="I44" s="46">
        <v>1</v>
      </c>
    </row>
    <row r="45" spans="1:9" ht="25.5" x14ac:dyDescent="0.25">
      <c r="A45" s="1"/>
      <c r="B45" s="36">
        <f t="shared" si="0"/>
        <v>36</v>
      </c>
      <c r="C45" s="38" t="s">
        <v>46</v>
      </c>
      <c r="D45" s="38" t="s">
        <v>93</v>
      </c>
      <c r="E45" s="38" t="s">
        <v>126</v>
      </c>
      <c r="F45" s="38" t="s">
        <v>161</v>
      </c>
      <c r="G45" s="38" t="s">
        <v>191</v>
      </c>
      <c r="H45" s="44" t="s">
        <v>230</v>
      </c>
      <c r="I45" s="47">
        <v>1</v>
      </c>
    </row>
    <row r="46" spans="1:9" ht="25.5" x14ac:dyDescent="0.25">
      <c r="A46" s="1"/>
      <c r="B46" s="36">
        <f>ROW(B46) - ROW($B$9)</f>
        <v>37</v>
      </c>
      <c r="C46" s="37" t="s">
        <v>47</v>
      </c>
      <c r="D46" s="37" t="s">
        <v>94</v>
      </c>
      <c r="E46" s="37" t="s">
        <v>127</v>
      </c>
      <c r="F46" s="37" t="s">
        <v>162</v>
      </c>
      <c r="G46" s="37" t="s">
        <v>192</v>
      </c>
      <c r="H46" s="45" t="s">
        <v>230</v>
      </c>
      <c r="I46" s="46">
        <v>1</v>
      </c>
    </row>
    <row r="47" spans="1:9" ht="25.5" x14ac:dyDescent="0.25">
      <c r="A47" s="1"/>
      <c r="B47" s="36">
        <f t="shared" si="0"/>
        <v>38</v>
      </c>
      <c r="C47" s="38" t="s">
        <v>48</v>
      </c>
      <c r="D47" s="38" t="s">
        <v>95</v>
      </c>
      <c r="E47" s="38" t="s">
        <v>128</v>
      </c>
      <c r="F47" s="38" t="s">
        <v>163</v>
      </c>
      <c r="G47" s="38" t="s">
        <v>193</v>
      </c>
      <c r="H47" s="44" t="s">
        <v>230</v>
      </c>
      <c r="I47" s="47">
        <v>1</v>
      </c>
    </row>
    <row r="48" spans="1:9" ht="63.75" x14ac:dyDescent="0.25">
      <c r="A48" s="1"/>
      <c r="B48" s="36">
        <f>ROW(B48) - ROW($B$9)</f>
        <v>39</v>
      </c>
      <c r="C48" s="37" t="s">
        <v>49</v>
      </c>
      <c r="D48" s="37" t="s">
        <v>96</v>
      </c>
      <c r="E48" s="37" t="s">
        <v>129</v>
      </c>
      <c r="F48" s="37" t="s">
        <v>164</v>
      </c>
      <c r="G48" s="37" t="s">
        <v>194</v>
      </c>
      <c r="H48" s="45" t="s">
        <v>230</v>
      </c>
      <c r="I48" s="46">
        <v>1</v>
      </c>
    </row>
    <row r="49" spans="1:9" ht="25.5" x14ac:dyDescent="0.25">
      <c r="A49" s="1"/>
      <c r="B49" s="36">
        <f t="shared" si="0"/>
        <v>40</v>
      </c>
      <c r="C49" s="38" t="s">
        <v>50</v>
      </c>
      <c r="D49" s="38" t="s">
        <v>97</v>
      </c>
      <c r="E49" s="38" t="s">
        <v>130</v>
      </c>
      <c r="F49" s="38" t="s">
        <v>165</v>
      </c>
      <c r="G49" s="38" t="s">
        <v>195</v>
      </c>
      <c r="H49" s="44" t="s">
        <v>230</v>
      </c>
      <c r="I49" s="47">
        <v>1</v>
      </c>
    </row>
    <row r="50" spans="1:9" ht="25.5" x14ac:dyDescent="0.25">
      <c r="A50" s="1"/>
      <c r="B50" s="36">
        <f>ROW(B50) - ROW($B$9)</f>
        <v>41</v>
      </c>
      <c r="C50" s="37" t="s">
        <v>51</v>
      </c>
      <c r="D50" s="37" t="s">
        <v>98</v>
      </c>
      <c r="E50" s="37" t="s">
        <v>131</v>
      </c>
      <c r="F50" s="37" t="s">
        <v>166</v>
      </c>
      <c r="G50" s="37" t="s">
        <v>196</v>
      </c>
      <c r="H50" s="45" t="s">
        <v>230</v>
      </c>
      <c r="I50" s="46">
        <v>1</v>
      </c>
    </row>
    <row r="51" spans="1:9" ht="51" x14ac:dyDescent="0.25">
      <c r="A51" s="1"/>
      <c r="B51" s="36">
        <f t="shared" si="0"/>
        <v>42</v>
      </c>
      <c r="C51" s="38" t="s">
        <v>52</v>
      </c>
      <c r="D51" s="38" t="s">
        <v>99</v>
      </c>
      <c r="E51" s="38" t="s">
        <v>132</v>
      </c>
      <c r="F51" s="38" t="s">
        <v>167</v>
      </c>
      <c r="G51" s="38" t="s">
        <v>197</v>
      </c>
      <c r="H51" s="44" t="s">
        <v>230</v>
      </c>
      <c r="I51" s="47">
        <v>1</v>
      </c>
    </row>
    <row r="52" spans="1:9" ht="63.75" x14ac:dyDescent="0.25">
      <c r="A52" s="1"/>
      <c r="B52" s="36">
        <f>ROW(B52) - ROW($B$9)</f>
        <v>43</v>
      </c>
      <c r="C52" s="37" t="s">
        <v>53</v>
      </c>
      <c r="D52" s="37" t="s">
        <v>100</v>
      </c>
      <c r="E52" s="37" t="s">
        <v>133</v>
      </c>
      <c r="F52" s="37" t="s">
        <v>168</v>
      </c>
      <c r="G52" s="37" t="s">
        <v>198</v>
      </c>
      <c r="H52" s="45" t="s">
        <v>230</v>
      </c>
      <c r="I52" s="46">
        <v>1</v>
      </c>
    </row>
    <row r="53" spans="1:9" ht="38.25" x14ac:dyDescent="0.25">
      <c r="A53" s="1"/>
      <c r="B53" s="36">
        <f t="shared" si="0"/>
        <v>44</v>
      </c>
      <c r="C53" s="38" t="s">
        <v>54</v>
      </c>
      <c r="D53" s="38" t="s">
        <v>101</v>
      </c>
      <c r="E53" s="38" t="s">
        <v>228</v>
      </c>
      <c r="F53" s="38" t="s">
        <v>134</v>
      </c>
      <c r="G53" s="38" t="s">
        <v>199</v>
      </c>
      <c r="H53" s="38" t="s">
        <v>224</v>
      </c>
      <c r="I53" s="47">
        <v>2</v>
      </c>
    </row>
    <row r="54" spans="1:9" ht="38.25" x14ac:dyDescent="0.25">
      <c r="A54" s="1"/>
      <c r="B54" s="36">
        <f>ROW(B54) - ROW($B$9)</f>
        <v>45</v>
      </c>
      <c r="C54" s="37" t="s">
        <v>55</v>
      </c>
      <c r="D54" s="37" t="s">
        <v>102</v>
      </c>
      <c r="E54" s="37" t="s">
        <v>228</v>
      </c>
      <c r="F54" s="37" t="s">
        <v>135</v>
      </c>
      <c r="G54" s="37" t="s">
        <v>199</v>
      </c>
      <c r="H54" s="37" t="s">
        <v>225</v>
      </c>
      <c r="I54" s="46">
        <v>1</v>
      </c>
    </row>
    <row r="55" spans="1:9" ht="38.25" x14ac:dyDescent="0.25">
      <c r="A55" s="1"/>
      <c r="B55" s="36">
        <f t="shared" si="0"/>
        <v>46</v>
      </c>
      <c r="C55" s="38" t="s">
        <v>56</v>
      </c>
      <c r="D55" s="38" t="s">
        <v>103</v>
      </c>
      <c r="E55" s="38" t="s">
        <v>228</v>
      </c>
      <c r="F55" s="38" t="s">
        <v>136</v>
      </c>
      <c r="G55" s="38" t="s">
        <v>200</v>
      </c>
      <c r="H55" s="38" t="s">
        <v>226</v>
      </c>
      <c r="I55" s="47">
        <v>1</v>
      </c>
    </row>
    <row r="56" spans="1:9" x14ac:dyDescent="0.25">
      <c r="A56" s="1"/>
      <c r="B56" s="32"/>
      <c r="C56" s="30" t="s">
        <v>5</v>
      </c>
      <c r="D56" s="31"/>
      <c r="E56" s="39"/>
      <c r="F56" s="52"/>
      <c r="G56" s="52"/>
      <c r="H56" s="52"/>
      <c r="I56" s="53"/>
    </row>
    <row r="57" spans="1:9" ht="15.75" thickBot="1" x14ac:dyDescent="0.3">
      <c r="A57" s="1"/>
      <c r="B57" s="28"/>
      <c r="C57" s="10" t="s">
        <v>6</v>
      </c>
      <c r="D57" s="11"/>
      <c r="E57" s="11"/>
      <c r="F57" s="54"/>
      <c r="G57" s="54"/>
      <c r="H57" s="54"/>
      <c r="I57" s="55"/>
    </row>
  </sheetData>
  <mergeCells count="3">
    <mergeCell ref="H1:I1"/>
    <mergeCell ref="I3:I8"/>
    <mergeCell ref="F56:I57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HP</cp:lastModifiedBy>
  <dcterms:created xsi:type="dcterms:W3CDTF">2019-12-12T10:34:26Z</dcterms:created>
  <dcterms:modified xsi:type="dcterms:W3CDTF">2022-06-15T16:36:44Z</dcterms:modified>
</cp:coreProperties>
</file>