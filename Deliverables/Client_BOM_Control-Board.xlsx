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"/>
    </mc:Choice>
  </mc:AlternateContent>
  <xr:revisionPtr revIDLastSave="0" documentId="13_ncr:1_{D917F34E-6AC1-4246-870B-DDCECB051958}" xr6:coauthVersionLast="47" xr6:coauthVersionMax="47" xr10:uidLastSave="{00000000-0000-0000-0000-000000000000}"/>
  <bookViews>
    <workbookView xWindow="-5820" yWindow="336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10" i="1"/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1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<sst xmlns="http://schemas.openxmlformats.org/spreadsheetml/2006/main" count="401" uniqueCount="281">
  <si>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</si>
  <si>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</si>
  <si>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</si>
  <si>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</si>
  <si>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</si>
  <si>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</si>
  <si>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</si>
  <si>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</si>
  <si>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</si>
  <si>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</si>
  <si>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</si>
  <si>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</t>
  </si>
  <si>
    <t>C3, C4, C6, C10, C11, C12, C13, C14, C15, C18, C19, C20, C21, C22, C24, C31, C34, C41, C42, C43, C44, C47, C49</t>
  </si>
  <si>
    <t>C5, C7, C8</t>
  </si>
  <si>
    <t>C9, C23, C33</t>
  </si>
  <si>
    <t>C16, C30, C45, C46, C48</t>
  </si>
  <si>
    <t>C17</t>
  </si>
  <si>
    <t>C25, C26, C27, C28, C39, C40</t>
  </si>
  <si>
    <t>C29</t>
  </si>
  <si>
    <t>C32</t>
  </si>
  <si>
    <t>C35</t>
  </si>
  <si>
    <t>C36</t>
  </si>
  <si>
    <t>C37</t>
  </si>
  <si>
    <t>C38</t>
  </si>
  <si>
    <t>J1</t>
  </si>
  <si>
    <t>J2</t>
  </si>
  <si>
    <t>J3</t>
  </si>
  <si>
    <t>J4</t>
  </si>
  <si>
    <t>J6</t>
  </si>
  <si>
    <t>J7</t>
  </si>
  <si>
    <t>J8</t>
  </si>
  <si>
    <t>L1</t>
  </si>
  <si>
    <t>L2</t>
  </si>
  <si>
    <t>L3</t>
  </si>
  <si>
    <t>L4</t>
  </si>
  <si>
    <t>L5</t>
  </si>
  <si>
    <t>L6</t>
  </si>
  <si>
    <t>L7</t>
  </si>
  <si>
    <t>L8</t>
  </si>
  <si>
    <t>LED1, LED3</t>
  </si>
  <si>
    <t>LED2</t>
  </si>
  <si>
    <t>R1</t>
  </si>
  <si>
    <t>R2, R3</t>
  </si>
  <si>
    <t>R4, R5, R6, R12, R18, R19, R22, R23</t>
  </si>
  <si>
    <t>R7</t>
  </si>
  <si>
    <t>R8, R13, R14, R15, R16, R17</t>
  </si>
  <si>
    <t>R9</t>
  </si>
  <si>
    <t>R10, R11</t>
  </si>
  <si>
    <t>R20, R21</t>
  </si>
  <si>
    <t>SB1, SB2, SB3, SB4, SB5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</si>
  <si>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</si>
  <si>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</si>
  <si>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</si>
  <si>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</si>
  <si>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</si>
  <si>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</si>
  <si>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</si>
  <si>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</si>
  <si>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</si>
  <si>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</t>
  </si>
  <si>
    <t>X2, X3</t>
  </si>
  <si>
    <t>Description</t>
  </si>
  <si>
    <t>0805 22 uF 25 V ±20% Tolerance X5R SMT Multilayer Ceramic Capacitor</t>
  </si>
  <si>
    <t>CAP CER 0.1UF 50V X7R 0402</t>
  </si>
  <si>
    <t>CAP CER 10UF 25V X5R 0603</t>
  </si>
  <si>
    <t>16V 4.7uF ±20% 0402 Multilayer Ceramic Capacitors MLCC</t>
  </si>
  <si>
    <t>CAP CER 1UF 16V X5R 0402</t>
  </si>
  <si>
    <t>CAP CER 2.2UF 25V X5R 0402</t>
  </si>
  <si>
    <t>CAP CER 20PF 50V C0G/NPO 0402</t>
  </si>
  <si>
    <t>16V 47nF X7R ±20% 0402 Multilayer Ceramic Capacitors MLCC - SMD/SMT ROHS</t>
  </si>
  <si>
    <t>CAP CER 2.2PF 50VDC C0G 0.05PF SMD 0402</t>
  </si>
  <si>
    <t>0402 1 pF 50 V ±0.25 pF Tolerance C0G SMT Multilayer Ceramic Capacitor</t>
  </si>
  <si>
    <t>CAP CER 1.5PF 50V C0G/NP0 0402</t>
  </si>
  <si>
    <t>CC Series 0402 2.2 nF 50 V ±10 % Tolerance X7R Multilayer Ceramic Capacitor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</si>
  <si>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</si>
  <si>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</si>
  <si>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</si>
  <si>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</si>
  <si>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CONN FPC/FFC 12POS .5MM</t>
  </si>
  <si>
    <t>4 POS 2.54mm Pin Header Male single row Right Angle SMD</t>
  </si>
  <si>
    <t>6 POS 2.54mm Pin Header Male single row Right Angle SMD</t>
  </si>
  <si>
    <t>FIXED IND 2.2UH 1.5A 160MOHM SMD</t>
  </si>
  <si>
    <t>FIXED IND 10UH 360MA 1.32OHM SMD</t>
  </si>
  <si>
    <t>550mA 15nH ±5% 150mΩ SMD,1.68x1x0.85mm Inductors (SMD) ROHS</t>
  </si>
  <si>
    <t>500mA 10uH ±20% 320mΩ 0805 Inductors (SMD) ROHS</t>
  </si>
  <si>
    <t>500mA 3.3nH ±0.3nH 120mΩ 0603 Inductors (SMD) ROHS</t>
  </si>
  <si>
    <t>500mA 4.7nH ±0.3nH 200mΩ 0603 Inductors (SMD) ROHS</t>
  </si>
  <si>
    <t>IND SMD 0.01uH 2% 100MHz 0.5A 0.19Ohm DCR 0402 T/R</t>
  </si>
  <si>
    <t>2.7A 6.8uH ±20% 50mΩ SMD Power Inductors ROHS</t>
  </si>
  <si>
    <t>LED GREEN CLEAR CHIP SMD</t>
  </si>
  <si>
    <t>LED RED CLEAR CHIP SMD</t>
  </si>
  <si>
    <t>0.1W ±5% ±1500ppm/℃ 25mΩ 0603 Chip Resistor - Surface Mount ROHS</t>
  </si>
  <si>
    <t>RES SMD 1K OHM 5% 1/10W 0402</t>
  </si>
  <si>
    <t>RES SMD 10K OHM 1% 1/16W 0402</t>
  </si>
  <si>
    <t>62.5mW Thick Film Resistors 50V ±5% ±200ppm/℃ 1Ω -55℃~+155℃ 0402 Chip Resistor - Surface Mount ROHS</t>
  </si>
  <si>
    <t>RES SMD 100K OHM 1% 1/5W 0402</t>
  </si>
  <si>
    <t>Res Thick Film 0402 68 Ohm 5% 1/10W ±200ppm/°C Molded SMD Punched Carrier T/R</t>
  </si>
  <si>
    <t>RES SMD 4.7K OHM 5% 1/10W 0402</t>
  </si>
  <si>
    <t>RES 5.1K OHM 1% 1/10W 0603</t>
  </si>
  <si>
    <t>Solder Bridge ON</t>
  </si>
  <si>
    <t>3mm 2mm Round Button 50mA Top3.65mm SPST 12V SMD Tactile Switches</t>
  </si>
  <si>
    <t>2.1A, 1- OR 2-CELL LI-ION BATTER</t>
  </si>
  <si>
    <t>IC MPU/RESET CIRC SOT23-3</t>
  </si>
  <si>
    <t>IC SWITCH HIGH SIDE 4TDFN</t>
  </si>
  <si>
    <t>IC REG BUCK BST 3.3V 1.6A 10SON</t>
  </si>
  <si>
    <t>IC MCU 32BIT 512KB FLASH 64QFN</t>
  </si>
  <si>
    <t>IC RF TXRX+MCU BLUETOOTH 48VFQFN</t>
  </si>
  <si>
    <t>IC MOD 3D ACC/GYRO INEMO 14VFLGA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</si>
  <si>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</si>
  <si>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</si>
  <si>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</si>
  <si>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</si>
  <si>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</si>
  <si>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</si>
  <si>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</si>
  <si>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</si>
  <si>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</si>
  <si>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</si>
  <si>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</si>
  <si>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FH34SRJ-12S-0.5SH(50)</t>
  </si>
  <si>
    <t>HDR1X4 SMD</t>
  </si>
  <si>
    <t>HDR1X6 SMD</t>
  </si>
  <si>
    <t>MAKK2016T2R2M</t>
  </si>
  <si>
    <t>NLCV25T-100K-EFRD</t>
  </si>
  <si>
    <t>SCW1608C15NJST</t>
  </si>
  <si>
    <t>Ind0805</t>
  </si>
  <si>
    <t>IND 0603</t>
  </si>
  <si>
    <t>MHQ1005P10NGT000</t>
  </si>
  <si>
    <t>LVC505040-6R8M-N</t>
  </si>
  <si>
    <t>LED 0402</t>
  </si>
  <si>
    <t>Res0603</t>
  </si>
  <si>
    <t>Res0402</t>
  </si>
  <si>
    <t>TS-1185EC-C-D-B</t>
  </si>
  <si>
    <t>QFN(3X3)</t>
  </si>
  <si>
    <t>SOT-23</t>
  </si>
  <si>
    <t>4-TDFN (1.2x1.6)</t>
  </si>
  <si>
    <t>10-VSON (3x3)</t>
  </si>
  <si>
    <t>QFN64</t>
  </si>
  <si>
    <t>48-QFN (6x6)</t>
  </si>
  <si>
    <t>14-LGA (2.5x3)</t>
  </si>
  <si>
    <t>SOT-23-6</t>
  </si>
  <si>
    <t>X321532768KGD2SI</t>
  </si>
  <si>
    <t>X322516MOB4SI</t>
  </si>
  <si>
    <t>Manufacturer Part Number</t>
  </si>
  <si>
    <t>GRM21BR61E226ME44L</t>
  </si>
  <si>
    <t>GRM155R71H104ME14D</t>
  </si>
  <si>
    <t>CL10A106MA8NRNC</t>
  </si>
  <si>
    <t>EDK105BBJ475MVLF</t>
  </si>
  <si>
    <t>CC0402KRX5R7BB105</t>
  </si>
  <si>
    <t>GRM155R61E225KE11D</t>
  </si>
  <si>
    <t>CC0402JRNPO9BN200</t>
  </si>
  <si>
    <t>GCM1555C1H2R2WA16D</t>
  </si>
  <si>
    <t>GRM1555C1H1R0CA01D</t>
  </si>
  <si>
    <t>GRM1555C1H1R5BA01D</t>
  </si>
  <si>
    <t>CC0402KRX7R9BB222</t>
  </si>
  <si>
    <t>XZVG68W-2</t>
  </si>
  <si>
    <t>XZMDK68W-2</t>
  </si>
  <si>
    <t>RTT03R025JTP</t>
  </si>
  <si>
    <t>ERJ-2GEJ102X</t>
  </si>
  <si>
    <t>RC0402FR-0710KL</t>
  </si>
  <si>
    <t>FRC0402J1R0 TS</t>
  </si>
  <si>
    <t>ERJ-PA2F1003X</t>
  </si>
  <si>
    <t>AC0402FR-07806RL</t>
  </si>
  <si>
    <t>ERJ-2GEJ472X</t>
  </si>
  <si>
    <t>RMCF0603FT5K10</t>
  </si>
  <si>
    <t>MP2615CGQ-Z</t>
  </si>
  <si>
    <t>MAX809SEUR+T</t>
  </si>
  <si>
    <t>SIP32431DNP3-T1GE4</t>
  </si>
  <si>
    <t>TPS63001DRCR</t>
  </si>
  <si>
    <t>ATSAM4S8BA-MU</t>
  </si>
  <si>
    <t>nRF51822-QFAA-R7</t>
  </si>
  <si>
    <t>LSM6DS3TR</t>
  </si>
  <si>
    <t>VRD2828PTX</t>
  </si>
  <si>
    <t>Manufacturer</t>
  </si>
  <si>
    <t>Murata</t>
  </si>
  <si>
    <t>Samsung</t>
  </si>
  <si>
    <t>Taiyo Yuden</t>
  </si>
  <si>
    <t>Yageo</t>
  </si>
  <si>
    <t>Hirose</t>
  </si>
  <si>
    <t>TE Connectivity AMP</t>
  </si>
  <si>
    <t>JST</t>
  </si>
  <si>
    <t>XFCN</t>
  </si>
  <si>
    <t>RTLECS</t>
  </si>
  <si>
    <t>TDK</t>
  </si>
  <si>
    <t>microgate</t>
  </si>
  <si>
    <t>CEC</t>
  </si>
  <si>
    <t>Chlisin Elec</t>
  </si>
  <si>
    <t>SunLED</t>
  </si>
  <si>
    <t>Relac</t>
  </si>
  <si>
    <t>Panasonic</t>
  </si>
  <si>
    <t>FOJAN</t>
  </si>
  <si>
    <t>Stackpole Electronics</t>
  </si>
  <si>
    <t>XKB</t>
  </si>
  <si>
    <t>Monolithic Power Systems</t>
  </si>
  <si>
    <t>Maxim</t>
  </si>
  <si>
    <t>Vishay Siliconix</t>
  </si>
  <si>
    <t>Texas Instruments</t>
  </si>
  <si>
    <t>Microchip</t>
  </si>
  <si>
    <t>Nordic Semiconductor</t>
  </si>
  <si>
    <t>STMicroelectronics</t>
  </si>
  <si>
    <t>AnaSem</t>
  </si>
  <si>
    <t>Yangxing Tech</t>
  </si>
  <si>
    <t>Comment</t>
  </si>
  <si>
    <t>22uF</t>
  </si>
  <si>
    <t>0.1uF</t>
  </si>
  <si>
    <t>10uF</t>
  </si>
  <si>
    <t>4.7uF</t>
  </si>
  <si>
    <t>1uF</t>
  </si>
  <si>
    <t>2.2uF</t>
  </si>
  <si>
    <t>20pF</t>
  </si>
  <si>
    <t>1nF</t>
  </si>
  <si>
    <t>47nF</t>
  </si>
  <si>
    <t>2.2pF</t>
  </si>
  <si>
    <t>1pF</t>
  </si>
  <si>
    <t>1.5pF</t>
  </si>
  <si>
    <t>2.2nF</t>
  </si>
  <si>
    <t>PH254P1x12SMRA-100</t>
  </si>
  <si>
    <t>2.2uH</t>
  </si>
  <si>
    <t>10uH</t>
  </si>
  <si>
    <t>15nH</t>
  </si>
  <si>
    <t>3.3nH</t>
  </si>
  <si>
    <t>4.7nH</t>
  </si>
  <si>
    <t>10nH</t>
  </si>
  <si>
    <t>6.8uH</t>
  </si>
  <si>
    <t>0.25R</t>
  </si>
  <si>
    <t>1K</t>
  </si>
  <si>
    <t>10K</t>
  </si>
  <si>
    <t>1R</t>
  </si>
  <si>
    <t>100K</t>
  </si>
  <si>
    <t>68R</t>
  </si>
  <si>
    <t>4.7K</t>
  </si>
  <si>
    <t>5.1K</t>
  </si>
  <si>
    <t>32.768kHz</t>
  </si>
  <si>
    <t>16MHz</t>
  </si>
  <si>
    <t>Quantity (1 Board)</t>
  </si>
  <si>
    <t>Quantity (5 Board)</t>
  </si>
  <si>
    <t>C1005X7R473METS</t>
  </si>
  <si>
    <t xml:space="preserve">Darfon </t>
  </si>
  <si>
    <t>Custom</t>
  </si>
  <si>
    <t xml:space="preserve">Sunltech </t>
  </si>
  <si>
    <t>---------</t>
  </si>
  <si>
    <t>--------</t>
  </si>
  <si>
    <t>MGFL2012F100MT-LF</t>
  </si>
  <si>
    <t xml:space="preserve">Alternate Part No </t>
  </si>
  <si>
    <t>LCSC/Part No</t>
  </si>
  <si>
    <t>LCSC/MOQ/5 Boards</t>
  </si>
  <si>
    <t>Links</t>
  </si>
  <si>
    <t>Unit Cost/5 Boards</t>
  </si>
  <si>
    <t>Total Cost/5 Boards</t>
  </si>
  <si>
    <t>Remarks</t>
  </si>
  <si>
    <t>C86816</t>
  </si>
  <si>
    <t>LCSC</t>
  </si>
  <si>
    <t>CL05B104KB54PNC</t>
  </si>
  <si>
    <t>C307331</t>
  </si>
  <si>
    <t>C2922482</t>
  </si>
  <si>
    <t>C412302</t>
  </si>
  <si>
    <t>C325464</t>
  </si>
  <si>
    <t>C385032</t>
  </si>
  <si>
    <t>C107000</t>
  </si>
  <si>
    <t>CC0402KRX7R8BB102</t>
  </si>
  <si>
    <t>CAP CER 1000PF 25V X7R 0402</t>
  </si>
  <si>
    <t>C541372</t>
  </si>
  <si>
    <t>C312032</t>
  </si>
  <si>
    <t>C437438</t>
  </si>
  <si>
    <t>C76953</t>
  </si>
  <si>
    <t>C76957</t>
  </si>
  <si>
    <t>C106861</t>
  </si>
  <si>
    <t>C88374</t>
  </si>
  <si>
    <t>C498674</t>
  </si>
  <si>
    <t>C158011</t>
  </si>
  <si>
    <t>C557729</t>
  </si>
  <si>
    <t>C424659</t>
  </si>
  <si>
    <t>C295388</t>
  </si>
  <si>
    <t>C231879</t>
  </si>
  <si>
    <t>C281113</t>
  </si>
  <si>
    <t>MGCI1608H3N3ST-LF</t>
  </si>
  <si>
    <t>C281026</t>
  </si>
  <si>
    <t>CH1608H4N7S(f)</t>
  </si>
  <si>
    <t>C316309</t>
  </si>
  <si>
    <t>C382409</t>
  </si>
  <si>
    <t>C285870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</si>
</sst>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&quot;$&quot;#,##0.00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0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3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2" xfId="0" applyFont="1" applyFill="1" applyBorder="1" applyAlignment="1">
      <alignment vertical="center"/>
    </xf>
    <xf numFmtId="0" fontId="15" fillId="3" borderId="13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3" fillId="3" borderId="17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1" fillId="3" borderId="0" xfId="0" applyNumberFormat="1" applyFont="1" applyFill="1" applyBorder="1" applyAlignment="1" applyProtection="1">
      <alignment vertical="center"/>
      <protection locked="0"/>
    </xf>
    <xf numFmtId="0" fontId="12" fillId="3" borderId="0" xfId="0" applyNumberFormat="1" applyFont="1" applyFill="1" applyBorder="1" applyAlignment="1" applyProtection="1">
      <alignment horizontal="left" vertical="center"/>
      <protection locked="0"/>
    </xf>
    <xf numFmtId="0" fontId="11" fillId="3" borderId="8" xfId="0" applyNumberFormat="1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/>
    </xf>
    <xf numFmtId="0" fontId="17" fillId="3" borderId="0" xfId="0" applyFont="1" applyFill="1" applyBorder="1"/>
    <xf numFmtId="0" fontId="15" fillId="3" borderId="13" xfId="0" quotePrefix="1" applyFont="1" applyFill="1" applyBorder="1" applyAlignment="1">
      <alignment vertical="center"/>
    </xf>
    <xf numFmtId="0" fontId="15" fillId="3" borderId="0" xfId="0" quotePrefix="1" applyFont="1" applyFill="1" applyBorder="1" applyAlignment="1">
      <alignment horizontal="left"/>
    </xf>
    <xf numFmtId="0" fontId="15" fillId="3" borderId="6" xfId="0" quotePrefix="1" applyFont="1" applyFill="1" applyBorder="1" applyAlignment="1">
      <alignment horizontal="left"/>
    </xf>
    <xf numFmtId="0" fontId="15" fillId="3" borderId="5" xfId="0" quotePrefix="1" applyFont="1" applyFill="1" applyBorder="1" applyAlignment="1">
      <alignment horizontal="left"/>
    </xf>
    <xf numFmtId="0" fontId="17" fillId="0" borderId="15" xfId="0" applyFont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4" borderId="7" xfId="0" quotePrefix="1" applyFont="1" applyFill="1" applyBorder="1" applyAlignment="1">
      <alignment horizontal="center" vertical="center" wrapText="1"/>
    </xf>
    <xf numFmtId="0" fontId="12" fillId="2" borderId="7" xfId="0" quotePrefix="1" applyFont="1" applyFill="1" applyBorder="1" applyAlignment="1">
      <alignment horizontal="center" vertical="center" wrapText="1"/>
    </xf>
    <xf numFmtId="0" fontId="19" fillId="4" borderId="7" xfId="0" quotePrefix="1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18" fillId="5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1" fillId="5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/>
    </xf>
    <xf numFmtId="0" fontId="20" fillId="0" borderId="18" xfId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165" fontId="17" fillId="4" borderId="15" xfId="0" applyNumberFormat="1" applyFont="1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5" fontId="17" fillId="4" borderId="29" xfId="0" applyNumberFormat="1" applyFont="1" applyFill="1" applyBorder="1" applyAlignment="1">
      <alignment horizontal="center" vertical="center"/>
    </xf>
    <xf numFmtId="0" fontId="12" fillId="2" borderId="23" xfId="0" quotePrefix="1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0" fillId="4" borderId="15" xfId="1" applyFill="1" applyBorder="1" applyAlignment="1">
      <alignment horizontal="center" vertical="center"/>
    </xf>
    <xf numFmtId="0" fontId="20" fillId="0" borderId="15" xfId="1" applyBorder="1" applyAlignment="1">
      <alignment horizontal="center" vertical="center"/>
    </xf>
    <xf numFmtId="165" fontId="17" fillId="4" borderId="1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2</xdr:row>
      <xdr:rowOff>29467</xdr:rowOff>
    </xdr:from>
    <xdr:ext cx="1714500" cy="1123058"/>
    <xdr:pic>
      <xdr:nvPicPr>
        <xdr:cNvPr id="9" name="Picture 8">
          <a:extLst>
            <a:ext uri="{FF2B5EF4-FFF2-40B4-BE49-F238E27FC236}">
              <a16:creationId xmlns:a16="http://schemas.microsoft.com/office/drawing/2014/main" id="{2992AAB0-0307-4480-9D95-EED72C889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650575" y="639067"/>
          <a:ext cx="1714500" cy="11230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402KRX7R8BB102_C541372.html" TargetMode="External"/><Relationship Id="rId13" Type="http://schemas.openxmlformats.org/officeDocument/2006/relationships/hyperlink" Target="https://lcsc.com/product-detail/Multilayer-Ceramic-Capacitors-MLCC-SMD-SMT_YAGEO-CC0402KRX7R9BB222_C106861.html" TargetMode="External"/><Relationship Id="rId18" Type="http://schemas.openxmlformats.org/officeDocument/2006/relationships/hyperlink" Target="https://lcsc.com/product-detail/FFC-FPC-Connectors_HRS-Hirose-FH34SRJ-12S-0-5SH-50_C424659.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Multilayer-Ceramic-Capacitors-MLCC-SMD-SMT_Samsung-Electro-Mechanics-CL10A106MA8NRNC_C2922482.html" TargetMode="External"/><Relationship Id="rId21" Type="http://schemas.openxmlformats.org/officeDocument/2006/relationships/hyperlink" Target="https://lcsc.com/product-detail/Inductors-SMD_microgate-MGFL2012F100MT-LF_C281113.html" TargetMode="External"/><Relationship Id="rId7" Type="http://schemas.openxmlformats.org/officeDocument/2006/relationships/hyperlink" Target="https://lcsc.com/product-detail/Multilayer-Ceramic-Capacitors-MLCC-SMD-SMT_YAGEO-CC0402JRNPO9BN200_C107000.html" TargetMode="External"/><Relationship Id="rId12" Type="http://schemas.openxmlformats.org/officeDocument/2006/relationships/hyperlink" Target="https://lcsc.com/product-detail/Multilayer-Ceramic-Capacitors-MLCC-SMD-SMT_Murata-Electronics-GRM1555C1H1R5BA01D_C76957.html" TargetMode="External"/><Relationship Id="rId17" Type="http://schemas.openxmlformats.org/officeDocument/2006/relationships/hyperlink" Target="https://lcsc.com/product-detail/FFC-FPC-Connectors_XFCN-F0504-H-22-20T-R_C557729.html" TargetMode="External"/><Relationship Id="rId25" Type="http://schemas.openxmlformats.org/officeDocument/2006/relationships/hyperlink" Target="https://www.lcsc.com/product-detail/Power-Inductors_Chilisin-Elec-LVC505040-6R8M-N_C285870.html" TargetMode="External"/><Relationship Id="rId2" Type="http://schemas.openxmlformats.org/officeDocument/2006/relationships/hyperlink" Target="https://lcsc.com/product-detail/Multilayer-Ceramic-Capacitors-MLCC-SMD-SMT_Samsung-Electro-Mechanics-CL05B104KB54PNC_C307331.html" TargetMode="External"/><Relationship Id="rId16" Type="http://schemas.openxmlformats.org/officeDocument/2006/relationships/hyperlink" Target="https://lcsc.com/product-detail/Wire-To-Board-Wire-To-Wire-Connector_JST-Sales-America-B2B-ZR-LF-SN_C158011.html" TargetMode="External"/><Relationship Id="rId20" Type="http://schemas.openxmlformats.org/officeDocument/2006/relationships/hyperlink" Target="https://lcsc.com/product-detail/Inductors-SMD_Sunltech-Tech-SCW1608C15NJST_C231879.html" TargetMode="External"/><Relationship Id="rId1" Type="http://schemas.openxmlformats.org/officeDocument/2006/relationships/hyperlink" Target="https://lcsc.com/product-detail/Multilayer-Ceramic-Capacitors-MLCC-SMD-SMT_Murata-Electronics-GRM21BR61E226ME44L_C86816.html" TargetMode="External"/><Relationship Id="rId6" Type="http://schemas.openxmlformats.org/officeDocument/2006/relationships/hyperlink" Target="https://lcsc.com/product-detail/Multilayer-Ceramic-Capacitors-MLCC-SMD-SMT_Murata-Electronics-GRM155R61E225KE11D_C385032.html" TargetMode="External"/><Relationship Id="rId11" Type="http://schemas.openxmlformats.org/officeDocument/2006/relationships/hyperlink" Target="https://lcsc.com/product-detail/Multilayer-Ceramic-Capacitors-MLCC-SMD-SMT_Murata-Electronics-GRM1555C1H1R0CA01D_C76953.html" TargetMode="External"/><Relationship Id="rId24" Type="http://schemas.openxmlformats.org/officeDocument/2006/relationships/hyperlink" Target="https://www.lcsc.com/product-detail/Inductors-SMD_TDK-MHQ1005P10NGT000_C382409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15" Type="http://schemas.openxmlformats.org/officeDocument/2006/relationships/hyperlink" Target="https://lcsc.com/product-detail/USB-Connectors_TE-Connectivity-2305018-2_C498674.html" TargetMode="External"/><Relationship Id="rId23" Type="http://schemas.openxmlformats.org/officeDocument/2006/relationships/hyperlink" Target="https://www.lcsc.com/product-detail/Inductors-SMD_CEC-Shenzhen-Zhenhua-Fu-Elec-CH1608H4N7S-f_C316309.html" TargetMode="External"/><Relationship Id="rId10" Type="http://schemas.openxmlformats.org/officeDocument/2006/relationships/hyperlink" Target="https://lcsc.com/product-detail/Multilayer-Ceramic-Capacitors-MLCC-SMD-SMT_Murata-Electronics-GCM1555C1H2R2WA16D_C437438.html" TargetMode="External"/><Relationship Id="rId19" Type="http://schemas.openxmlformats.org/officeDocument/2006/relationships/hyperlink" Target="https://lcsc.com/product-detail/Inductors-SMD_TDK-NLCV25T-100K-EFRD_C295388.html" TargetMode="External"/><Relationship Id="rId4" Type="http://schemas.openxmlformats.org/officeDocument/2006/relationships/hyperlink" Target="https://lcsc.com/product-detail/Multilayer-Ceramic-Capacitors-MLCC-SMD-SMT_Taiyo-Yuden-EDK105BBJ475MVLF_C412302.html" TargetMode="External"/><Relationship Id="rId9" Type="http://schemas.openxmlformats.org/officeDocument/2006/relationships/hyperlink" Target="https://lcsc.com/product-detail/Multilayer-Ceramic-Capacitors-MLCC-SMD-SMT_Darfon-Elec-C1005X7R473METS_C312032.html" TargetMode="External"/><Relationship Id="rId14" Type="http://schemas.openxmlformats.org/officeDocument/2006/relationships/hyperlink" Target="https://lcsc.com/product-detail/RF-Connectors-Coaxial-Connectors_HRS-Hirose-U-FL-R-SMT-1-80_C88374.html" TargetMode="External"/><Relationship Id="rId22" Type="http://schemas.openxmlformats.org/officeDocument/2006/relationships/hyperlink" Target="https://lcsc.com/product-detail/Inductors-SMD_microgate-MGCI1608H3N3ST-LF_C281026.html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1"/>
  <sheetViews>
    <sheetView tabSelected="1" topLeftCell="E32" workbookViewId="0">
      <selection activeCell="G43" sqref="G43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8.85546875" bestFit="1" customWidth="1"/>
    <col min="5" max="5" width="26.5703125" bestFit="1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29.42578125" bestFit="1" customWidth="1"/>
    <col min="11" max="17" width="26.85546875" bestFit="1" customWidth="1"/>
  </cols>
  <sheetData>
    <row r="1" spans="1:17" ht="15.75" thickBot="1" x14ac:dyDescent="0.3">
      <c r="A1" s="1"/>
      <c r="B1" s="19"/>
      <c r="C1" s="2"/>
      <c r="D1" s="2"/>
      <c r="E1" s="2"/>
      <c r="F1" s="2"/>
      <c r="G1" s="2"/>
      <c r="H1" s="2"/>
      <c r="I1" s="2"/>
      <c r="J1" s="78"/>
      <c r="K1" s="79"/>
    </row>
    <row r="2" spans="1:17" ht="32.25" thickBot="1" x14ac:dyDescent="0.3">
      <c r="A2" s="1"/>
      <c r="B2" s="20"/>
      <c r="C2" s="10" t="s">
        <v>0</v>
      </c>
      <c r="D2" s="10"/>
      <c r="E2" s="33" t="s">
        <v>7</v>
      </c>
      <c r="F2" s="11"/>
      <c r="G2" s="11"/>
      <c r="H2" s="3"/>
      <c r="I2" s="3"/>
      <c r="J2" s="3"/>
      <c r="K2" s="46"/>
      <c r="L2" s="46"/>
      <c r="M2" s="46"/>
      <c r="N2" s="46"/>
      <c r="O2" s="46"/>
      <c r="P2" s="72"/>
      <c r="Q2" s="73"/>
    </row>
    <row r="3" spans="1:17" ht="15.75" x14ac:dyDescent="0.25">
      <c r="A3" s="1"/>
      <c r="B3" s="21"/>
      <c r="C3" s="12" t="s">
        <v>1</v>
      </c>
      <c r="D3" s="12"/>
      <c r="E3" s="34" t="s">
        <v>8</v>
      </c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70"/>
    </row>
    <row r="4" spans="1:17" ht="15.75" x14ac:dyDescent="0.25">
      <c r="A4" s="1"/>
      <c r="B4" s="21"/>
      <c r="C4" s="12" t="s">
        <v>2</v>
      </c>
      <c r="D4" s="12"/>
      <c r="E4" s="35" t="s">
        <v>8</v>
      </c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71"/>
    </row>
    <row r="5" spans="1:17" ht="15.75" x14ac:dyDescent="0.25">
      <c r="A5" s="1"/>
      <c r="B5" s="21"/>
      <c r="C5" s="12" t="s">
        <v>3</v>
      </c>
      <c r="D5" s="12"/>
      <c r="E5" s="36" t="s">
        <v>9</v>
      </c>
      <c r="F5" s="14"/>
      <c r="G5" s="14"/>
      <c r="H5" s="5"/>
      <c r="I5" s="5"/>
      <c r="J5" s="5"/>
      <c r="K5" s="5"/>
      <c r="L5" s="5"/>
      <c r="M5" s="5"/>
      <c r="N5" s="5"/>
      <c r="O5" s="5"/>
      <c r="P5" s="5"/>
      <c r="Q5" s="71"/>
    </row>
    <row r="6" spans="1:17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"/>
      <c r="N6" s="5"/>
      <c r="O6" s="5"/>
      <c r="P6" s="5"/>
      <c r="Q6" s="71"/>
    </row>
    <row r="7" spans="1:17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7"/>
      <c r="N7" s="7"/>
      <c r="O7" s="7"/>
      <c r="P7" s="7"/>
      <c r="Q7" s="71"/>
    </row>
    <row r="8" spans="1:17" ht="15.75" thickBot="1" x14ac:dyDescent="0.3">
      <c r="A8" s="1"/>
      <c r="B8" s="48"/>
      <c r="C8" s="49"/>
      <c r="D8" s="49"/>
      <c r="E8" s="50"/>
      <c r="F8" s="17"/>
      <c r="G8" s="17"/>
      <c r="H8" s="7"/>
      <c r="I8" s="7"/>
      <c r="J8" s="7"/>
      <c r="K8" s="7"/>
      <c r="L8" s="7"/>
      <c r="M8" s="7"/>
      <c r="N8" s="7"/>
      <c r="O8" s="7"/>
      <c r="P8" s="7"/>
      <c r="Q8" s="71"/>
    </row>
    <row r="9" spans="1:17" ht="15.75" thickBot="1" x14ac:dyDescent="0.3">
      <c r="A9" s="1"/>
      <c r="B9" s="54" t="s">
        <v>4</v>
      </c>
      <c r="C9" s="55" t="s">
        <v>10</v>
      </c>
      <c r="D9" s="55" t="s">
        <v>61</v>
      </c>
      <c r="E9" s="55" t="s">
        <v>111</v>
      </c>
      <c r="F9" s="55" t="s">
        <v>143</v>
      </c>
      <c r="G9" s="44" t="s">
        <v>243</v>
      </c>
      <c r="H9" s="55" t="s">
        <v>173</v>
      </c>
      <c r="I9" s="44" t="s">
        <v>244</v>
      </c>
      <c r="J9" s="55" t="s">
        <v>202</v>
      </c>
      <c r="K9" s="56" t="s">
        <v>234</v>
      </c>
      <c r="L9" s="56" t="s">
        <v>235</v>
      </c>
      <c r="M9" s="45" t="s">
        <v>245</v>
      </c>
      <c r="N9" s="44" t="s">
        <v>246</v>
      </c>
      <c r="O9" s="45" t="s">
        <v>247</v>
      </c>
      <c r="P9" s="44" t="s">
        <v>248</v>
      </c>
      <c r="Q9" s="47" t="s">
        <v>249</v>
      </c>
    </row>
    <row r="10" spans="1:17" ht="51" x14ac:dyDescent="0.25">
      <c r="A10" s="1"/>
      <c r="B10" s="51">
        <f>ROW(B10) - ROW($B$9)</f>
        <v>1</v>
      </c>
      <c r="C10" s="52" t="s">
        <v>11</v>
      </c>
      <c r="D10" s="52" t="s">
        <v>62</v>
      </c>
      <c r="E10" s="52" t="s">
        <v>112</v>
      </c>
      <c r="F10" s="52" t="s">
        <v>144</v>
      </c>
      <c r="G10" s="65" t="s">
        <v>240</v>
      </c>
      <c r="H10" s="52" t="s">
        <v>174</v>
      </c>
      <c r="I10" s="52" t="s">
        <v>250</v>
      </c>
      <c r="J10" s="52" t="s">
        <v>203</v>
      </c>
      <c r="K10" s="53">
        <v>2</v>
      </c>
      <c r="L10" s="53">
        <f>K10*5</f>
        <v>10</v>
      </c>
      <c r="M10" s="53">
        <v>15</v>
      </c>
      <c r="N10" s="60" t="s">
        <v>251</v>
      </c>
      <c r="O10" s="61">
        <v>7.3599999999999999E-2</v>
      </c>
      <c r="P10" s="61">
        <f>O10*M10</f>
        <v>1.1040000000000001</v>
      </c>
      <c r="Q10" s="53"/>
    </row>
    <row r="11" spans="1:17" ht="38.25" x14ac:dyDescent="0.25">
      <c r="A11" s="1"/>
      <c r="B11" s="43">
        <f t="shared" ref="B11:B59" si="0">ROW(B11) - ROW($B$9)</f>
        <v>2</v>
      </c>
      <c r="C11" s="30" t="s">
        <v>12</v>
      </c>
      <c r="D11" s="30" t="s">
        <v>63</v>
      </c>
      <c r="E11" s="30" t="s">
        <v>113</v>
      </c>
      <c r="F11" s="66" t="s">
        <v>145</v>
      </c>
      <c r="G11" s="30" t="s">
        <v>252</v>
      </c>
      <c r="H11" s="30" t="s">
        <v>174</v>
      </c>
      <c r="I11" s="30" t="s">
        <v>253</v>
      </c>
      <c r="J11" s="30" t="s">
        <v>204</v>
      </c>
      <c r="K11" s="38">
        <v>23</v>
      </c>
      <c r="L11" s="38">
        <f t="shared" ref="L11:L59" si="1">K11*5</f>
        <v>115</v>
      </c>
      <c r="M11" s="38">
        <v>150</v>
      </c>
      <c r="N11" s="67" t="s">
        <v>251</v>
      </c>
      <c r="O11" s="62">
        <v>6.7000000000000002E-3</v>
      </c>
      <c r="P11" s="69">
        <f t="shared" ref="P11:P59" si="2">O11*M11</f>
        <v>1.0050000000000001</v>
      </c>
      <c r="Q11" s="38"/>
    </row>
    <row r="12" spans="1:17" ht="25.5" x14ac:dyDescent="0.25">
      <c r="A12" s="1"/>
      <c r="B12" s="43">
        <f>ROW(B12) - ROW($B$9)</f>
        <v>3</v>
      </c>
      <c r="C12" s="29" t="s">
        <v>13</v>
      </c>
      <c r="D12" s="29" t="s">
        <v>64</v>
      </c>
      <c r="E12" s="29" t="s">
        <v>114</v>
      </c>
      <c r="F12" s="29" t="s">
        <v>146</v>
      </c>
      <c r="G12" s="41" t="s">
        <v>240</v>
      </c>
      <c r="H12" s="29" t="s">
        <v>175</v>
      </c>
      <c r="I12" s="29" t="s">
        <v>254</v>
      </c>
      <c r="J12" s="29" t="s">
        <v>205</v>
      </c>
      <c r="K12" s="37">
        <v>3</v>
      </c>
      <c r="L12" s="37">
        <f t="shared" si="1"/>
        <v>15</v>
      </c>
      <c r="M12" s="37">
        <v>20</v>
      </c>
      <c r="N12" s="68" t="s">
        <v>251</v>
      </c>
      <c r="O12" s="63">
        <v>1.3599999999999999E-2</v>
      </c>
      <c r="P12" s="61">
        <f t="shared" si="2"/>
        <v>0.27199999999999996</v>
      </c>
      <c r="Q12" s="37"/>
    </row>
    <row r="13" spans="1:17" ht="38.25" x14ac:dyDescent="0.25">
      <c r="A13" s="1"/>
      <c r="B13" s="43">
        <f t="shared" si="0"/>
        <v>4</v>
      </c>
      <c r="C13" s="30" t="s">
        <v>14</v>
      </c>
      <c r="D13" s="30" t="s">
        <v>65</v>
      </c>
      <c r="E13" s="30" t="s">
        <v>113</v>
      </c>
      <c r="F13" s="30" t="s">
        <v>147</v>
      </c>
      <c r="G13" s="40" t="s">
        <v>240</v>
      </c>
      <c r="H13" s="30" t="s">
        <v>176</v>
      </c>
      <c r="I13" s="30" t="s">
        <v>255</v>
      </c>
      <c r="J13" s="30" t="s">
        <v>206</v>
      </c>
      <c r="K13" s="38">
        <v>3</v>
      </c>
      <c r="L13" s="38">
        <f t="shared" si="1"/>
        <v>15</v>
      </c>
      <c r="M13" s="38">
        <v>50</v>
      </c>
      <c r="N13" s="67" t="s">
        <v>251</v>
      </c>
      <c r="O13" s="62">
        <v>1.7600000000000001E-2</v>
      </c>
      <c r="P13" s="69">
        <f t="shared" si="2"/>
        <v>0.88</v>
      </c>
      <c r="Q13" s="38"/>
    </row>
    <row r="14" spans="1:17" ht="25.5" x14ac:dyDescent="0.25">
      <c r="A14" s="1"/>
      <c r="B14" s="43">
        <f>ROW(B14) - ROW($B$9)</f>
        <v>5</v>
      </c>
      <c r="C14" s="29" t="s">
        <v>15</v>
      </c>
      <c r="D14" s="29" t="s">
        <v>66</v>
      </c>
      <c r="E14" s="29" t="s">
        <v>113</v>
      </c>
      <c r="F14" s="29" t="s">
        <v>148</v>
      </c>
      <c r="G14" s="41" t="s">
        <v>240</v>
      </c>
      <c r="H14" s="29" t="s">
        <v>177</v>
      </c>
      <c r="I14" s="29" t="s">
        <v>256</v>
      </c>
      <c r="J14" s="29" t="s">
        <v>207</v>
      </c>
      <c r="K14" s="37">
        <v>5</v>
      </c>
      <c r="L14" s="37">
        <f t="shared" si="1"/>
        <v>25</v>
      </c>
      <c r="M14" s="37">
        <v>50</v>
      </c>
      <c r="N14" s="68" t="s">
        <v>251</v>
      </c>
      <c r="O14" s="63">
        <v>6.4000000000000003E-3</v>
      </c>
      <c r="P14" s="61">
        <f t="shared" si="2"/>
        <v>0.32</v>
      </c>
      <c r="Q14" s="37"/>
    </row>
    <row r="15" spans="1:17" ht="25.5" x14ac:dyDescent="0.25">
      <c r="A15" s="1"/>
      <c r="B15" s="43">
        <f t="shared" si="0"/>
        <v>6</v>
      </c>
      <c r="C15" s="30" t="s">
        <v>16</v>
      </c>
      <c r="D15" s="30" t="s">
        <v>67</v>
      </c>
      <c r="E15" s="30" t="s">
        <v>113</v>
      </c>
      <c r="F15" s="30" t="s">
        <v>149</v>
      </c>
      <c r="G15" s="40" t="s">
        <v>240</v>
      </c>
      <c r="H15" s="30" t="s">
        <v>174</v>
      </c>
      <c r="I15" s="30" t="s">
        <v>257</v>
      </c>
      <c r="J15" s="30" t="s">
        <v>208</v>
      </c>
      <c r="K15" s="38">
        <v>1</v>
      </c>
      <c r="L15" s="38">
        <f t="shared" si="1"/>
        <v>5</v>
      </c>
      <c r="M15" s="38">
        <v>10</v>
      </c>
      <c r="N15" s="67" t="s">
        <v>251</v>
      </c>
      <c r="O15" s="62">
        <v>4.8899999999999999E-2</v>
      </c>
      <c r="P15" s="69">
        <f t="shared" si="2"/>
        <v>0.48899999999999999</v>
      </c>
      <c r="Q15" s="38"/>
    </row>
    <row r="16" spans="1:17" ht="25.5" x14ac:dyDescent="0.25">
      <c r="A16" s="1"/>
      <c r="B16" s="43">
        <f>ROW(B16) - ROW($B$9)</f>
        <v>7</v>
      </c>
      <c r="C16" s="29" t="s">
        <v>17</v>
      </c>
      <c r="D16" s="29" t="s">
        <v>68</v>
      </c>
      <c r="E16" s="29" t="s">
        <v>113</v>
      </c>
      <c r="F16" s="29" t="s">
        <v>150</v>
      </c>
      <c r="G16" s="41" t="s">
        <v>240</v>
      </c>
      <c r="H16" s="29" t="s">
        <v>177</v>
      </c>
      <c r="I16" s="29" t="s">
        <v>258</v>
      </c>
      <c r="J16" s="29" t="s">
        <v>209</v>
      </c>
      <c r="K16" s="37">
        <v>6</v>
      </c>
      <c r="L16" s="37">
        <f t="shared" si="1"/>
        <v>30</v>
      </c>
      <c r="M16" s="37">
        <v>100</v>
      </c>
      <c r="N16" s="68" t="s">
        <v>251</v>
      </c>
      <c r="O16" s="63">
        <v>1.4E-3</v>
      </c>
      <c r="P16" s="61">
        <f t="shared" si="2"/>
        <v>0.13999999999999999</v>
      </c>
      <c r="Q16" s="37"/>
    </row>
    <row r="17" spans="1:17" ht="25.5" x14ac:dyDescent="0.25">
      <c r="A17" s="1"/>
      <c r="B17" s="43">
        <f t="shared" si="0"/>
        <v>8</v>
      </c>
      <c r="C17" s="30" t="s">
        <v>18</v>
      </c>
      <c r="D17" s="30" t="s">
        <v>260</v>
      </c>
      <c r="E17" s="30" t="s">
        <v>113</v>
      </c>
      <c r="F17" s="30" t="s">
        <v>259</v>
      </c>
      <c r="G17" s="40" t="s">
        <v>240</v>
      </c>
      <c r="H17" s="30" t="s">
        <v>177</v>
      </c>
      <c r="I17" s="30" t="s">
        <v>261</v>
      </c>
      <c r="J17" s="30" t="s">
        <v>210</v>
      </c>
      <c r="K17" s="38">
        <v>1</v>
      </c>
      <c r="L17" s="38">
        <f t="shared" si="1"/>
        <v>5</v>
      </c>
      <c r="M17" s="38">
        <v>100</v>
      </c>
      <c r="N17" s="67" t="s">
        <v>251</v>
      </c>
      <c r="O17" s="62">
        <v>1.6000000000000001E-3</v>
      </c>
      <c r="P17" s="69">
        <f t="shared" si="2"/>
        <v>0.16</v>
      </c>
      <c r="Q17" s="38"/>
    </row>
    <row r="18" spans="1:17" ht="63.75" x14ac:dyDescent="0.25">
      <c r="A18" s="1"/>
      <c r="B18" s="43">
        <f>ROW(B18) - ROW($B$9)</f>
        <v>9</v>
      </c>
      <c r="C18" s="29" t="s">
        <v>19</v>
      </c>
      <c r="D18" s="29" t="s">
        <v>69</v>
      </c>
      <c r="E18" s="29" t="s">
        <v>113</v>
      </c>
      <c r="F18" s="29" t="s">
        <v>236</v>
      </c>
      <c r="G18" s="41" t="s">
        <v>240</v>
      </c>
      <c r="H18" s="29" t="s">
        <v>237</v>
      </c>
      <c r="I18" s="29" t="s">
        <v>262</v>
      </c>
      <c r="J18" s="29" t="s">
        <v>211</v>
      </c>
      <c r="K18" s="37">
        <v>1</v>
      </c>
      <c r="L18" s="37">
        <f t="shared" si="1"/>
        <v>5</v>
      </c>
      <c r="M18" s="37">
        <v>50</v>
      </c>
      <c r="N18" s="68" t="s">
        <v>251</v>
      </c>
      <c r="O18" s="63">
        <v>1.1000000000000001E-3</v>
      </c>
      <c r="P18" s="61">
        <f t="shared" si="2"/>
        <v>5.5E-2</v>
      </c>
      <c r="Q18" s="37"/>
    </row>
    <row r="19" spans="1:17" ht="25.5" x14ac:dyDescent="0.25">
      <c r="A19" s="1"/>
      <c r="B19" s="43">
        <f t="shared" si="0"/>
        <v>10</v>
      </c>
      <c r="C19" s="30" t="s">
        <v>20</v>
      </c>
      <c r="D19" s="30" t="s">
        <v>70</v>
      </c>
      <c r="E19" s="30" t="s">
        <v>113</v>
      </c>
      <c r="F19" s="30" t="s">
        <v>151</v>
      </c>
      <c r="G19" s="40" t="s">
        <v>240</v>
      </c>
      <c r="H19" s="30" t="s">
        <v>174</v>
      </c>
      <c r="I19" s="30" t="s">
        <v>263</v>
      </c>
      <c r="J19" s="30" t="s">
        <v>212</v>
      </c>
      <c r="K19" s="38">
        <v>1</v>
      </c>
      <c r="L19" s="38">
        <f t="shared" si="1"/>
        <v>5</v>
      </c>
      <c r="M19" s="38">
        <v>10</v>
      </c>
      <c r="N19" s="67" t="s">
        <v>251</v>
      </c>
      <c r="O19" s="62">
        <v>5.4100000000000002E-2</v>
      </c>
      <c r="P19" s="69">
        <f t="shared" si="2"/>
        <v>0.54100000000000004</v>
      </c>
      <c r="Q19" s="38"/>
    </row>
    <row r="20" spans="1:17" ht="51" x14ac:dyDescent="0.25">
      <c r="A20" s="1"/>
      <c r="B20" s="43">
        <f>ROW(B20) - ROW($B$9)</f>
        <v>11</v>
      </c>
      <c r="C20" s="29" t="s">
        <v>21</v>
      </c>
      <c r="D20" s="29" t="s">
        <v>71</v>
      </c>
      <c r="E20" s="29" t="s">
        <v>113</v>
      </c>
      <c r="F20" s="29" t="s">
        <v>152</v>
      </c>
      <c r="G20" s="41" t="s">
        <v>240</v>
      </c>
      <c r="H20" s="29" t="s">
        <v>174</v>
      </c>
      <c r="I20" s="29" t="s">
        <v>264</v>
      </c>
      <c r="J20" s="29" t="s">
        <v>213</v>
      </c>
      <c r="K20" s="37">
        <v>1</v>
      </c>
      <c r="L20" s="37">
        <f t="shared" si="1"/>
        <v>5</v>
      </c>
      <c r="M20" s="37">
        <v>100</v>
      </c>
      <c r="N20" s="68" t="s">
        <v>251</v>
      </c>
      <c r="O20" s="63">
        <v>3.3E-3</v>
      </c>
      <c r="P20" s="61">
        <f t="shared" si="2"/>
        <v>0.33</v>
      </c>
      <c r="Q20" s="37"/>
    </row>
    <row r="21" spans="1:17" ht="25.5" x14ac:dyDescent="0.25">
      <c r="A21" s="1"/>
      <c r="B21" s="43">
        <f t="shared" si="0"/>
        <v>12</v>
      </c>
      <c r="C21" s="30" t="s">
        <v>22</v>
      </c>
      <c r="D21" s="30" t="s">
        <v>72</v>
      </c>
      <c r="E21" s="30" t="s">
        <v>113</v>
      </c>
      <c r="F21" s="30" t="s">
        <v>153</v>
      </c>
      <c r="G21" s="40" t="s">
        <v>240</v>
      </c>
      <c r="H21" s="30" t="s">
        <v>174</v>
      </c>
      <c r="I21" s="30" t="s">
        <v>265</v>
      </c>
      <c r="J21" s="30" t="s">
        <v>214</v>
      </c>
      <c r="K21" s="38">
        <v>1</v>
      </c>
      <c r="L21" s="38">
        <f t="shared" si="1"/>
        <v>5</v>
      </c>
      <c r="M21" s="38">
        <v>50</v>
      </c>
      <c r="N21" s="67" t="s">
        <v>251</v>
      </c>
      <c r="O21" s="62">
        <v>6.1999999999999998E-3</v>
      </c>
      <c r="P21" s="69">
        <f t="shared" si="2"/>
        <v>0.31</v>
      </c>
      <c r="Q21" s="38"/>
    </row>
    <row r="22" spans="1:17" ht="51" x14ac:dyDescent="0.25">
      <c r="A22" s="1"/>
      <c r="B22" s="43">
        <f>ROW(B22) - ROW($B$9)</f>
        <v>13</v>
      </c>
      <c r="C22" s="29" t="s">
        <v>23</v>
      </c>
      <c r="D22" s="29" t="s">
        <v>73</v>
      </c>
      <c r="E22" s="29" t="s">
        <v>113</v>
      </c>
      <c r="F22" s="29" t="s">
        <v>154</v>
      </c>
      <c r="G22" s="41" t="s">
        <v>240</v>
      </c>
      <c r="H22" s="29" t="s">
        <v>177</v>
      </c>
      <c r="I22" s="29" t="s">
        <v>266</v>
      </c>
      <c r="J22" s="29" t="s">
        <v>215</v>
      </c>
      <c r="K22" s="37">
        <v>1</v>
      </c>
      <c r="L22" s="37">
        <f t="shared" si="1"/>
        <v>5</v>
      </c>
      <c r="M22" s="37">
        <v>100</v>
      </c>
      <c r="N22" s="68" t="s">
        <v>251</v>
      </c>
      <c r="O22" s="63">
        <v>1.6000000000000001E-3</v>
      </c>
      <c r="P22" s="61">
        <f t="shared" si="2"/>
        <v>0.16</v>
      </c>
      <c r="Q22" s="37"/>
    </row>
    <row r="23" spans="1:17" ht="25.5" x14ac:dyDescent="0.25">
      <c r="A23" s="1"/>
      <c r="B23" s="43">
        <f t="shared" si="0"/>
        <v>14</v>
      </c>
      <c r="C23" s="30" t="s">
        <v>24</v>
      </c>
      <c r="D23" s="30" t="s">
        <v>74</v>
      </c>
      <c r="E23" s="30" t="s">
        <v>238</v>
      </c>
      <c r="F23" s="30" t="s">
        <v>115</v>
      </c>
      <c r="G23" s="40" t="s">
        <v>240</v>
      </c>
      <c r="H23" s="30" t="s">
        <v>178</v>
      </c>
      <c r="I23" s="30" t="s">
        <v>267</v>
      </c>
      <c r="J23" s="40" t="s">
        <v>240</v>
      </c>
      <c r="K23" s="38">
        <v>1</v>
      </c>
      <c r="L23" s="38">
        <f t="shared" si="1"/>
        <v>5</v>
      </c>
      <c r="M23" s="38">
        <v>10</v>
      </c>
      <c r="N23" s="67" t="s">
        <v>251</v>
      </c>
      <c r="O23" s="62">
        <v>8.8900000000000007E-2</v>
      </c>
      <c r="P23" s="69">
        <f t="shared" si="2"/>
        <v>0.88900000000000001</v>
      </c>
      <c r="Q23" s="38"/>
    </row>
    <row r="24" spans="1:17" ht="25.5" x14ac:dyDescent="0.25">
      <c r="A24" s="1"/>
      <c r="B24" s="43">
        <f>ROW(B24) - ROW($B$9)</f>
        <v>15</v>
      </c>
      <c r="C24" s="29" t="s">
        <v>25</v>
      </c>
      <c r="D24" s="29" t="s">
        <v>75</v>
      </c>
      <c r="E24" s="29" t="s">
        <v>116</v>
      </c>
      <c r="F24" s="29" t="s">
        <v>116</v>
      </c>
      <c r="G24" s="41" t="s">
        <v>240</v>
      </c>
      <c r="H24" s="29" t="s">
        <v>179</v>
      </c>
      <c r="I24" s="29" t="s">
        <v>268</v>
      </c>
      <c r="J24" s="41" t="s">
        <v>241</v>
      </c>
      <c r="K24" s="37">
        <v>1</v>
      </c>
      <c r="L24" s="37">
        <f t="shared" si="1"/>
        <v>5</v>
      </c>
      <c r="M24" s="37">
        <v>6</v>
      </c>
      <c r="N24" s="68" t="s">
        <v>251</v>
      </c>
      <c r="O24" s="63">
        <v>2.3371</v>
      </c>
      <c r="P24" s="61">
        <f t="shared" si="2"/>
        <v>14.022600000000001</v>
      </c>
      <c r="Q24" s="37"/>
    </row>
    <row r="25" spans="1:17" ht="25.5" x14ac:dyDescent="0.25">
      <c r="A25" s="1"/>
      <c r="B25" s="43">
        <f t="shared" si="0"/>
        <v>16</v>
      </c>
      <c r="C25" s="30" t="s">
        <v>26</v>
      </c>
      <c r="D25" s="30" t="s">
        <v>76</v>
      </c>
      <c r="E25" s="30" t="s">
        <v>238</v>
      </c>
      <c r="F25" s="30" t="s">
        <v>117</v>
      </c>
      <c r="G25" s="40" t="s">
        <v>240</v>
      </c>
      <c r="H25" s="30" t="s">
        <v>180</v>
      </c>
      <c r="I25" s="30" t="s">
        <v>269</v>
      </c>
      <c r="J25" s="40" t="s">
        <v>241</v>
      </c>
      <c r="K25" s="38">
        <v>1</v>
      </c>
      <c r="L25" s="38">
        <f t="shared" si="1"/>
        <v>5</v>
      </c>
      <c r="M25" s="38">
        <v>20</v>
      </c>
      <c r="N25" s="67" t="s">
        <v>251</v>
      </c>
      <c r="O25" s="62">
        <v>4.8399999999999999E-2</v>
      </c>
      <c r="P25" s="69">
        <f t="shared" si="2"/>
        <v>0.96799999999999997</v>
      </c>
      <c r="Q25" s="38"/>
    </row>
    <row r="26" spans="1:17" ht="89.25" x14ac:dyDescent="0.25">
      <c r="A26" s="1"/>
      <c r="B26" s="43">
        <f>ROW(B26) - ROW($B$9)</f>
        <v>17</v>
      </c>
      <c r="C26" s="29" t="s">
        <v>27</v>
      </c>
      <c r="D26" s="29" t="s">
        <v>77</v>
      </c>
      <c r="E26" s="29" t="s">
        <v>238</v>
      </c>
      <c r="F26" s="29" t="s">
        <v>118</v>
      </c>
      <c r="G26" s="41" t="s">
        <v>240</v>
      </c>
      <c r="H26" s="29" t="s">
        <v>181</v>
      </c>
      <c r="I26" s="29" t="s">
        <v>270</v>
      </c>
      <c r="J26" s="41" t="s">
        <v>241</v>
      </c>
      <c r="K26" s="37">
        <v>1</v>
      </c>
      <c r="L26" s="37">
        <f t="shared" si="1"/>
        <v>5</v>
      </c>
      <c r="M26" s="37">
        <v>6</v>
      </c>
      <c r="N26" s="68" t="s">
        <v>251</v>
      </c>
      <c r="O26" s="63">
        <v>0.18659999999999999</v>
      </c>
      <c r="P26" s="61">
        <f t="shared" si="2"/>
        <v>1.1195999999999999</v>
      </c>
      <c r="Q26" s="37"/>
    </row>
    <row r="27" spans="1:17" ht="25.5" x14ac:dyDescent="0.25">
      <c r="A27" s="1"/>
      <c r="B27" s="43">
        <f t="shared" si="0"/>
        <v>18</v>
      </c>
      <c r="C27" s="30" t="s">
        <v>28</v>
      </c>
      <c r="D27" s="30" t="s">
        <v>78</v>
      </c>
      <c r="E27" s="30" t="s">
        <v>238</v>
      </c>
      <c r="F27" s="30" t="s">
        <v>119</v>
      </c>
      <c r="G27" s="40" t="s">
        <v>240</v>
      </c>
      <c r="H27" s="30" t="s">
        <v>178</v>
      </c>
      <c r="I27" s="30" t="s">
        <v>271</v>
      </c>
      <c r="J27" s="40" t="s">
        <v>241</v>
      </c>
      <c r="K27" s="38">
        <v>1</v>
      </c>
      <c r="L27" s="38">
        <f t="shared" si="1"/>
        <v>5</v>
      </c>
      <c r="M27" s="38">
        <v>6</v>
      </c>
      <c r="N27" s="67" t="s">
        <v>251</v>
      </c>
      <c r="O27" s="62">
        <v>0.1893</v>
      </c>
      <c r="P27" s="69">
        <f t="shared" si="2"/>
        <v>1.1357999999999999</v>
      </c>
      <c r="Q27" s="38"/>
    </row>
    <row r="28" spans="1:17" ht="38.25" x14ac:dyDescent="0.25">
      <c r="A28" s="1"/>
      <c r="B28" s="43">
        <f>ROW(B28) - ROW($B$9)</f>
        <v>19</v>
      </c>
      <c r="C28" s="29" t="s">
        <v>29</v>
      </c>
      <c r="D28" s="29" t="s">
        <v>79</v>
      </c>
      <c r="E28" s="29" t="s">
        <v>120</v>
      </c>
      <c r="F28" s="29" t="s">
        <v>216</v>
      </c>
      <c r="G28" s="29"/>
      <c r="H28" s="29" t="s">
        <v>182</v>
      </c>
      <c r="I28" s="29"/>
      <c r="J28" s="41" t="s">
        <v>241</v>
      </c>
      <c r="K28" s="37">
        <v>1</v>
      </c>
      <c r="L28" s="37">
        <f t="shared" si="1"/>
        <v>5</v>
      </c>
      <c r="M28" s="37"/>
      <c r="N28" s="37"/>
      <c r="O28" s="63"/>
      <c r="P28" s="61">
        <f t="shared" si="2"/>
        <v>0</v>
      </c>
      <c r="Q28" s="37"/>
    </row>
    <row r="29" spans="1:17" ht="38.25" x14ac:dyDescent="0.25">
      <c r="A29" s="1"/>
      <c r="B29" s="43">
        <f t="shared" si="0"/>
        <v>20</v>
      </c>
      <c r="C29" s="30" t="s">
        <v>30</v>
      </c>
      <c r="D29" s="30" t="s">
        <v>80</v>
      </c>
      <c r="E29" s="30" t="s">
        <v>121</v>
      </c>
      <c r="F29" s="30" t="s">
        <v>216</v>
      </c>
      <c r="G29" s="30"/>
      <c r="H29" s="30" t="s">
        <v>182</v>
      </c>
      <c r="I29" s="30"/>
      <c r="J29" s="42" t="s">
        <v>241</v>
      </c>
      <c r="K29" s="38">
        <v>1</v>
      </c>
      <c r="L29" s="38">
        <f t="shared" si="1"/>
        <v>5</v>
      </c>
      <c r="M29" s="38"/>
      <c r="N29" s="38"/>
      <c r="O29" s="62"/>
      <c r="P29" s="69">
        <f t="shared" si="2"/>
        <v>0</v>
      </c>
      <c r="Q29" s="38"/>
    </row>
    <row r="30" spans="1:17" ht="25.5" x14ac:dyDescent="0.25">
      <c r="A30" s="1"/>
      <c r="B30" s="43">
        <f>ROW(B30) - ROW($B$9)</f>
        <v>21</v>
      </c>
      <c r="C30" s="29" t="s">
        <v>31</v>
      </c>
      <c r="D30" s="29" t="s">
        <v>81</v>
      </c>
      <c r="E30" s="29" t="s">
        <v>238</v>
      </c>
      <c r="F30" s="29" t="s">
        <v>122</v>
      </c>
      <c r="G30" s="29"/>
      <c r="H30" s="29" t="s">
        <v>176</v>
      </c>
      <c r="I30" s="29"/>
      <c r="J30" s="29" t="s">
        <v>217</v>
      </c>
      <c r="K30" s="37">
        <v>1</v>
      </c>
      <c r="L30" s="37">
        <f t="shared" si="1"/>
        <v>5</v>
      </c>
      <c r="M30" s="37"/>
      <c r="N30" s="37"/>
      <c r="O30" s="63"/>
      <c r="P30" s="61">
        <f t="shared" si="2"/>
        <v>0</v>
      </c>
      <c r="Q30" s="37"/>
    </row>
    <row r="31" spans="1:17" ht="25.5" x14ac:dyDescent="0.25">
      <c r="A31" s="1"/>
      <c r="B31" s="43">
        <f t="shared" si="0"/>
        <v>22</v>
      </c>
      <c r="C31" s="30" t="s">
        <v>32</v>
      </c>
      <c r="D31" s="30" t="s">
        <v>82</v>
      </c>
      <c r="E31" s="30" t="s">
        <v>238</v>
      </c>
      <c r="F31" s="30" t="s">
        <v>123</v>
      </c>
      <c r="G31" s="40" t="s">
        <v>240</v>
      </c>
      <c r="H31" s="30" t="s">
        <v>183</v>
      </c>
      <c r="I31" s="30" t="s">
        <v>272</v>
      </c>
      <c r="J31" s="30" t="s">
        <v>218</v>
      </c>
      <c r="K31" s="38">
        <v>1</v>
      </c>
      <c r="L31" s="38">
        <f t="shared" si="1"/>
        <v>5</v>
      </c>
      <c r="M31" s="38">
        <v>7</v>
      </c>
      <c r="N31" s="67" t="s">
        <v>251</v>
      </c>
      <c r="O31" s="62">
        <v>0.1575</v>
      </c>
      <c r="P31" s="69">
        <f t="shared" si="2"/>
        <v>1.1025</v>
      </c>
      <c r="Q31" s="38"/>
    </row>
    <row r="32" spans="1:17" ht="51" x14ac:dyDescent="0.25">
      <c r="A32" s="1"/>
      <c r="B32" s="43">
        <f>ROW(B32) - ROW($B$9)</f>
        <v>23</v>
      </c>
      <c r="C32" s="29" t="s">
        <v>33</v>
      </c>
      <c r="D32" s="29" t="s">
        <v>83</v>
      </c>
      <c r="E32" s="39" t="s">
        <v>238</v>
      </c>
      <c r="F32" s="29" t="s">
        <v>124</v>
      </c>
      <c r="G32" s="41" t="s">
        <v>240</v>
      </c>
      <c r="H32" s="29" t="s">
        <v>239</v>
      </c>
      <c r="I32" s="29" t="s">
        <v>273</v>
      </c>
      <c r="J32" s="29" t="s">
        <v>219</v>
      </c>
      <c r="K32" s="37">
        <v>1</v>
      </c>
      <c r="L32" s="37">
        <f t="shared" si="1"/>
        <v>5</v>
      </c>
      <c r="M32" s="37">
        <v>10</v>
      </c>
      <c r="N32" s="68" t="s">
        <v>251</v>
      </c>
      <c r="O32" s="63">
        <v>5.7299999999999997E-2</v>
      </c>
      <c r="P32" s="61">
        <f t="shared" si="2"/>
        <v>0.57299999999999995</v>
      </c>
      <c r="Q32" s="37"/>
    </row>
    <row r="33" spans="1:17" ht="38.25" x14ac:dyDescent="0.25">
      <c r="A33" s="1"/>
      <c r="B33" s="43">
        <f t="shared" si="0"/>
        <v>24</v>
      </c>
      <c r="C33" s="30" t="s">
        <v>34</v>
      </c>
      <c r="D33" s="30" t="s">
        <v>84</v>
      </c>
      <c r="E33" s="30" t="s">
        <v>125</v>
      </c>
      <c r="F33" s="30" t="s">
        <v>242</v>
      </c>
      <c r="G33" s="40" t="s">
        <v>240</v>
      </c>
      <c r="H33" s="30" t="s">
        <v>184</v>
      </c>
      <c r="I33" s="30" t="s">
        <v>274</v>
      </c>
      <c r="J33" s="30" t="s">
        <v>218</v>
      </c>
      <c r="K33" s="38">
        <v>1</v>
      </c>
      <c r="L33" s="38">
        <f t="shared" si="1"/>
        <v>5</v>
      </c>
      <c r="M33" s="38">
        <v>10</v>
      </c>
      <c r="N33" s="67" t="s">
        <v>251</v>
      </c>
      <c r="O33" s="62">
        <v>4.4400000000000002E-2</v>
      </c>
      <c r="P33" s="69">
        <f t="shared" si="2"/>
        <v>0.44400000000000001</v>
      </c>
      <c r="Q33" s="38"/>
    </row>
    <row r="34" spans="1:17" ht="38.25" x14ac:dyDescent="0.25">
      <c r="A34" s="1"/>
      <c r="B34" s="43">
        <f>ROW(B34) - ROW($B$9)</f>
        <v>25</v>
      </c>
      <c r="C34" s="29" t="s">
        <v>35</v>
      </c>
      <c r="D34" s="29" t="s">
        <v>85</v>
      </c>
      <c r="E34" s="29" t="s">
        <v>126</v>
      </c>
      <c r="F34" s="29" t="s">
        <v>275</v>
      </c>
      <c r="G34" s="41" t="s">
        <v>240</v>
      </c>
      <c r="H34" s="29" t="s">
        <v>184</v>
      </c>
      <c r="I34" s="29" t="s">
        <v>276</v>
      </c>
      <c r="J34" s="29" t="s">
        <v>220</v>
      </c>
      <c r="K34" s="37">
        <v>1</v>
      </c>
      <c r="L34" s="37">
        <f t="shared" si="1"/>
        <v>5</v>
      </c>
      <c r="M34" s="37">
        <v>50</v>
      </c>
      <c r="N34" s="68" t="s">
        <v>251</v>
      </c>
      <c r="O34" s="63">
        <v>3.3E-3</v>
      </c>
      <c r="P34" s="61">
        <f t="shared" si="2"/>
        <v>0.16500000000000001</v>
      </c>
      <c r="Q34" s="37"/>
    </row>
    <row r="35" spans="1:17" ht="38.25" x14ac:dyDescent="0.25">
      <c r="A35" s="1"/>
      <c r="B35" s="43">
        <f t="shared" si="0"/>
        <v>26</v>
      </c>
      <c r="C35" s="30" t="s">
        <v>36</v>
      </c>
      <c r="D35" s="30" t="s">
        <v>86</v>
      </c>
      <c r="E35" s="30" t="s">
        <v>126</v>
      </c>
      <c r="F35" s="30" t="s">
        <v>277</v>
      </c>
      <c r="G35" s="40" t="s">
        <v>240</v>
      </c>
      <c r="H35" s="30" t="s">
        <v>185</v>
      </c>
      <c r="I35" s="30" t="s">
        <v>278</v>
      </c>
      <c r="J35" s="30" t="s">
        <v>221</v>
      </c>
      <c r="K35" s="38">
        <v>1</v>
      </c>
      <c r="L35" s="38">
        <f t="shared" si="1"/>
        <v>5</v>
      </c>
      <c r="M35" s="38">
        <v>50</v>
      </c>
      <c r="N35" s="67" t="s">
        <v>251</v>
      </c>
      <c r="O35" s="62">
        <v>7.0000000000000001E-3</v>
      </c>
      <c r="P35" s="69">
        <f t="shared" si="2"/>
        <v>0.35000000000000003</v>
      </c>
      <c r="Q35" s="38"/>
    </row>
    <row r="36" spans="1:17" ht="51" x14ac:dyDescent="0.25">
      <c r="A36" s="1"/>
      <c r="B36" s="43">
        <f>ROW(B36) - ROW($B$9)</f>
        <v>27</v>
      </c>
      <c r="C36" s="29" t="s">
        <v>37</v>
      </c>
      <c r="D36" s="29" t="s">
        <v>87</v>
      </c>
      <c r="E36" s="29" t="s">
        <v>238</v>
      </c>
      <c r="F36" s="29" t="s">
        <v>127</v>
      </c>
      <c r="G36" s="41" t="s">
        <v>240</v>
      </c>
      <c r="H36" s="29" t="s">
        <v>183</v>
      </c>
      <c r="I36" s="29" t="s">
        <v>279</v>
      </c>
      <c r="J36" s="29" t="s">
        <v>222</v>
      </c>
      <c r="K36" s="37">
        <v>1</v>
      </c>
      <c r="L36" s="37">
        <f t="shared" si="1"/>
        <v>5</v>
      </c>
      <c r="M36" s="37">
        <v>20</v>
      </c>
      <c r="N36" s="68" t="s">
        <v>251</v>
      </c>
      <c r="O36" s="63">
        <v>2.9700000000000001E-2</v>
      </c>
      <c r="P36" s="61">
        <f t="shared" si="2"/>
        <v>0.59399999999999997</v>
      </c>
      <c r="Q36" s="37"/>
    </row>
    <row r="37" spans="1:17" ht="38.25" x14ac:dyDescent="0.25">
      <c r="A37" s="1"/>
      <c r="B37" s="43">
        <f t="shared" si="0"/>
        <v>28</v>
      </c>
      <c r="C37" s="30" t="s">
        <v>38</v>
      </c>
      <c r="D37" s="30" t="s">
        <v>88</v>
      </c>
      <c r="E37" s="30" t="s">
        <v>238</v>
      </c>
      <c r="F37" s="30" t="s">
        <v>128</v>
      </c>
      <c r="G37" s="40" t="s">
        <v>240</v>
      </c>
      <c r="H37" s="30" t="s">
        <v>186</v>
      </c>
      <c r="I37" s="30" t="s">
        <v>280</v>
      </c>
      <c r="J37" s="30" t="s">
        <v>223</v>
      </c>
      <c r="K37" s="38">
        <v>1</v>
      </c>
      <c r="L37" s="38">
        <f t="shared" si="1"/>
        <v>5</v>
      </c>
      <c r="M37" s="38">
        <v>10</v>
      </c>
      <c r="N37" s="67" t="s">
        <v>251</v>
      </c>
      <c r="O37" s="62">
        <v>9.4299999999999995E-2</v>
      </c>
      <c r="P37" s="69">
        <f t="shared" si="2"/>
        <v>0.94299999999999995</v>
      </c>
      <c r="Q37" s="38"/>
    </row>
    <row r="38" spans="1:17" ht="25.5" x14ac:dyDescent="0.25">
      <c r="A38" s="1"/>
      <c r="B38" s="43">
        <f>ROW(B38) - ROW($B$9)</f>
        <v>29</v>
      </c>
      <c r="C38" s="29" t="s">
        <v>39</v>
      </c>
      <c r="D38" s="29" t="s">
        <v>89</v>
      </c>
      <c r="E38" s="29" t="s">
        <v>129</v>
      </c>
      <c r="F38" s="29" t="s">
        <v>155</v>
      </c>
      <c r="G38" s="29"/>
      <c r="H38" s="29" t="s">
        <v>187</v>
      </c>
      <c r="I38" s="29"/>
      <c r="J38" s="41" t="s">
        <v>241</v>
      </c>
      <c r="K38" s="37">
        <v>2</v>
      </c>
      <c r="L38" s="37">
        <f t="shared" si="1"/>
        <v>10</v>
      </c>
      <c r="M38" s="37"/>
      <c r="N38" s="37"/>
      <c r="O38" s="63"/>
      <c r="P38" s="61">
        <f t="shared" si="2"/>
        <v>0</v>
      </c>
      <c r="Q38" s="37"/>
    </row>
    <row r="39" spans="1:17" ht="25.5" x14ac:dyDescent="0.25">
      <c r="A39" s="1"/>
      <c r="B39" s="43">
        <f t="shared" si="0"/>
        <v>30</v>
      </c>
      <c r="C39" s="30" t="s">
        <v>40</v>
      </c>
      <c r="D39" s="30" t="s">
        <v>90</v>
      </c>
      <c r="E39" s="30" t="s">
        <v>129</v>
      </c>
      <c r="F39" s="30" t="s">
        <v>156</v>
      </c>
      <c r="G39" s="30"/>
      <c r="H39" s="30" t="s">
        <v>187</v>
      </c>
      <c r="I39" s="30"/>
      <c r="J39" s="40" t="s">
        <v>241</v>
      </c>
      <c r="K39" s="38">
        <v>1</v>
      </c>
      <c r="L39" s="38">
        <f t="shared" si="1"/>
        <v>5</v>
      </c>
      <c r="M39" s="38"/>
      <c r="N39" s="38"/>
      <c r="O39" s="62"/>
      <c r="P39" s="69">
        <f t="shared" si="2"/>
        <v>0</v>
      </c>
      <c r="Q39" s="38"/>
    </row>
    <row r="40" spans="1:17" ht="51" x14ac:dyDescent="0.25">
      <c r="A40" s="1"/>
      <c r="B40" s="43">
        <f>ROW(B40) - ROW($B$9)</f>
        <v>31</v>
      </c>
      <c r="C40" s="29" t="s">
        <v>41</v>
      </c>
      <c r="D40" s="29" t="s">
        <v>91</v>
      </c>
      <c r="E40" s="29" t="s">
        <v>130</v>
      </c>
      <c r="F40" s="29" t="s">
        <v>157</v>
      </c>
      <c r="G40" s="29"/>
      <c r="H40" s="29" t="s">
        <v>188</v>
      </c>
      <c r="I40" s="29"/>
      <c r="J40" s="29" t="s">
        <v>224</v>
      </c>
      <c r="K40" s="37">
        <v>1</v>
      </c>
      <c r="L40" s="37">
        <f t="shared" si="1"/>
        <v>5</v>
      </c>
      <c r="M40" s="37"/>
      <c r="N40" s="37"/>
      <c r="O40" s="63"/>
      <c r="P40" s="61">
        <f t="shared" si="2"/>
        <v>0</v>
      </c>
      <c r="Q40" s="37"/>
    </row>
    <row r="41" spans="1:17" ht="25.5" x14ac:dyDescent="0.25">
      <c r="A41" s="1"/>
      <c r="B41" s="43">
        <f t="shared" si="0"/>
        <v>32</v>
      </c>
      <c r="C41" s="30" t="s">
        <v>42</v>
      </c>
      <c r="D41" s="30" t="s">
        <v>92</v>
      </c>
      <c r="E41" s="30" t="s">
        <v>131</v>
      </c>
      <c r="F41" s="30" t="s">
        <v>158</v>
      </c>
      <c r="G41" s="30"/>
      <c r="H41" s="30" t="s">
        <v>189</v>
      </c>
      <c r="I41" s="30"/>
      <c r="J41" s="30" t="s">
        <v>225</v>
      </c>
      <c r="K41" s="38">
        <v>2</v>
      </c>
      <c r="L41" s="38">
        <f t="shared" si="1"/>
        <v>10</v>
      </c>
      <c r="M41" s="38"/>
      <c r="N41" s="38"/>
      <c r="O41" s="62"/>
      <c r="P41" s="69">
        <f t="shared" si="2"/>
        <v>0</v>
      </c>
      <c r="Q41" s="38"/>
    </row>
    <row r="42" spans="1:17" ht="25.5" x14ac:dyDescent="0.25">
      <c r="A42" s="1"/>
      <c r="B42" s="43">
        <f>ROW(B42) - ROW($B$9)</f>
        <v>33</v>
      </c>
      <c r="C42" s="29" t="s">
        <v>43</v>
      </c>
      <c r="D42" s="29" t="s">
        <v>93</v>
      </c>
      <c r="E42" s="29" t="s">
        <v>131</v>
      </c>
      <c r="F42" s="29" t="s">
        <v>159</v>
      </c>
      <c r="G42" s="29"/>
      <c r="H42" s="29" t="s">
        <v>177</v>
      </c>
      <c r="I42" s="29"/>
      <c r="J42" s="29" t="s">
        <v>226</v>
      </c>
      <c r="K42" s="37">
        <v>8</v>
      </c>
      <c r="L42" s="37">
        <f t="shared" si="1"/>
        <v>40</v>
      </c>
      <c r="M42" s="37"/>
      <c r="N42" s="37"/>
      <c r="O42" s="63"/>
      <c r="P42" s="61">
        <f t="shared" si="2"/>
        <v>0</v>
      </c>
      <c r="Q42" s="37"/>
    </row>
    <row r="43" spans="1:17" ht="76.5" x14ac:dyDescent="0.25">
      <c r="A43" s="1"/>
      <c r="B43" s="43">
        <f t="shared" si="0"/>
        <v>34</v>
      </c>
      <c r="C43" s="30" t="s">
        <v>44</v>
      </c>
      <c r="D43" s="30" t="s">
        <v>94</v>
      </c>
      <c r="E43" s="30" t="s">
        <v>131</v>
      </c>
      <c r="F43" s="30" t="s">
        <v>160</v>
      </c>
      <c r="G43" s="30"/>
      <c r="H43" s="30" t="s">
        <v>190</v>
      </c>
      <c r="I43" s="30"/>
      <c r="J43" s="30" t="s">
        <v>227</v>
      </c>
      <c r="K43" s="38">
        <v>1</v>
      </c>
      <c r="L43" s="38">
        <f t="shared" si="1"/>
        <v>5</v>
      </c>
      <c r="M43" s="38"/>
      <c r="N43" s="38"/>
      <c r="O43" s="62"/>
      <c r="P43" s="69">
        <f t="shared" si="2"/>
        <v>0</v>
      </c>
      <c r="Q43" s="38"/>
    </row>
    <row r="44" spans="1:17" ht="25.5" x14ac:dyDescent="0.25">
      <c r="A44" s="1"/>
      <c r="B44" s="43">
        <f>ROW(B44) - ROW($B$9)</f>
        <v>35</v>
      </c>
      <c r="C44" s="29" t="s">
        <v>45</v>
      </c>
      <c r="D44" s="29" t="s">
        <v>95</v>
      </c>
      <c r="E44" s="29" t="s">
        <v>131</v>
      </c>
      <c r="F44" s="29" t="s">
        <v>161</v>
      </c>
      <c r="G44" s="29"/>
      <c r="H44" s="29" t="s">
        <v>189</v>
      </c>
      <c r="I44" s="29"/>
      <c r="J44" s="29" t="s">
        <v>228</v>
      </c>
      <c r="K44" s="37">
        <v>6</v>
      </c>
      <c r="L44" s="37">
        <f t="shared" si="1"/>
        <v>30</v>
      </c>
      <c r="M44" s="37"/>
      <c r="N44" s="37"/>
      <c r="O44" s="63"/>
      <c r="P44" s="61">
        <f t="shared" si="2"/>
        <v>0</v>
      </c>
      <c r="Q44" s="37"/>
    </row>
    <row r="45" spans="1:17" ht="63.75" x14ac:dyDescent="0.25">
      <c r="A45" s="1"/>
      <c r="B45" s="43">
        <f t="shared" si="0"/>
        <v>36</v>
      </c>
      <c r="C45" s="30" t="s">
        <v>46</v>
      </c>
      <c r="D45" s="30" t="s">
        <v>96</v>
      </c>
      <c r="E45" s="30" t="s">
        <v>131</v>
      </c>
      <c r="F45" s="30" t="s">
        <v>162</v>
      </c>
      <c r="G45" s="30"/>
      <c r="H45" s="30" t="s">
        <v>177</v>
      </c>
      <c r="I45" s="30"/>
      <c r="J45" s="30" t="s">
        <v>229</v>
      </c>
      <c r="K45" s="38">
        <v>1</v>
      </c>
      <c r="L45" s="38">
        <f t="shared" si="1"/>
        <v>5</v>
      </c>
      <c r="M45" s="38"/>
      <c r="N45" s="38"/>
      <c r="O45" s="62"/>
      <c r="P45" s="69">
        <f t="shared" si="2"/>
        <v>0</v>
      </c>
      <c r="Q45" s="38"/>
    </row>
    <row r="46" spans="1:17" ht="25.5" x14ac:dyDescent="0.25">
      <c r="A46" s="1"/>
      <c r="B46" s="43">
        <f>ROW(B46) - ROW($B$9)</f>
        <v>37</v>
      </c>
      <c r="C46" s="29" t="s">
        <v>47</v>
      </c>
      <c r="D46" s="29" t="s">
        <v>97</v>
      </c>
      <c r="E46" s="29" t="s">
        <v>131</v>
      </c>
      <c r="F46" s="29" t="s">
        <v>163</v>
      </c>
      <c r="G46" s="29"/>
      <c r="H46" s="29" t="s">
        <v>189</v>
      </c>
      <c r="I46" s="29"/>
      <c r="J46" s="29" t="s">
        <v>230</v>
      </c>
      <c r="K46" s="37">
        <v>2</v>
      </c>
      <c r="L46" s="37">
        <f t="shared" si="1"/>
        <v>10</v>
      </c>
      <c r="M46" s="37"/>
      <c r="N46" s="37"/>
      <c r="O46" s="63"/>
      <c r="P46" s="61">
        <f t="shared" si="2"/>
        <v>0</v>
      </c>
      <c r="Q46" s="37"/>
    </row>
    <row r="47" spans="1:17" ht="25.5" x14ac:dyDescent="0.25">
      <c r="A47" s="1"/>
      <c r="B47" s="43">
        <f t="shared" si="0"/>
        <v>38</v>
      </c>
      <c r="C47" s="30" t="s">
        <v>48</v>
      </c>
      <c r="D47" s="30" t="s">
        <v>98</v>
      </c>
      <c r="E47" s="30" t="s">
        <v>130</v>
      </c>
      <c r="F47" s="30" t="s">
        <v>164</v>
      </c>
      <c r="G47" s="30"/>
      <c r="H47" s="30" t="s">
        <v>191</v>
      </c>
      <c r="I47" s="30"/>
      <c r="J47" s="30" t="s">
        <v>231</v>
      </c>
      <c r="K47" s="38">
        <v>2</v>
      </c>
      <c r="L47" s="38">
        <f t="shared" si="1"/>
        <v>10</v>
      </c>
      <c r="M47" s="38"/>
      <c r="N47" s="38"/>
      <c r="O47" s="62"/>
      <c r="P47" s="69">
        <f t="shared" si="2"/>
        <v>0</v>
      </c>
      <c r="Q47" s="38"/>
    </row>
    <row r="48" spans="1:17" x14ac:dyDescent="0.25">
      <c r="A48" s="1"/>
      <c r="B48" s="43">
        <f>ROW(B48) - ROW($B$9)</f>
        <v>39</v>
      </c>
      <c r="C48" s="29" t="s">
        <v>49</v>
      </c>
      <c r="D48" s="29" t="s">
        <v>99</v>
      </c>
      <c r="E48" s="41" t="s">
        <v>241</v>
      </c>
      <c r="F48" s="41" t="s">
        <v>241</v>
      </c>
      <c r="G48" s="41"/>
      <c r="H48" s="41" t="s">
        <v>241</v>
      </c>
      <c r="I48" s="41"/>
      <c r="J48" s="41" t="s">
        <v>241</v>
      </c>
      <c r="K48" s="37">
        <v>5</v>
      </c>
      <c r="L48" s="37">
        <f t="shared" si="1"/>
        <v>25</v>
      </c>
      <c r="M48" s="37"/>
      <c r="N48" s="37"/>
      <c r="O48" s="63"/>
      <c r="P48" s="61">
        <f t="shared" si="2"/>
        <v>0</v>
      </c>
      <c r="Q48" s="37"/>
    </row>
    <row r="49" spans="1:17" ht="51" x14ac:dyDescent="0.25">
      <c r="A49" s="1"/>
      <c r="B49" s="43">
        <f t="shared" si="0"/>
        <v>40</v>
      </c>
      <c r="C49" s="30" t="s">
        <v>50</v>
      </c>
      <c r="D49" s="30" t="s">
        <v>100</v>
      </c>
      <c r="E49" s="30" t="s">
        <v>238</v>
      </c>
      <c r="F49" s="30" t="s">
        <v>132</v>
      </c>
      <c r="G49" s="30"/>
      <c r="H49" s="30" t="s">
        <v>192</v>
      </c>
      <c r="I49" s="30"/>
      <c r="J49" s="40" t="s">
        <v>241</v>
      </c>
      <c r="K49" s="38">
        <v>1</v>
      </c>
      <c r="L49" s="38">
        <f t="shared" si="1"/>
        <v>5</v>
      </c>
      <c r="M49" s="38"/>
      <c r="N49" s="38"/>
      <c r="O49" s="62"/>
      <c r="P49" s="69">
        <f t="shared" si="2"/>
        <v>0</v>
      </c>
      <c r="Q49" s="38"/>
    </row>
    <row r="50" spans="1:17" ht="25.5" x14ac:dyDescent="0.25">
      <c r="A50" s="1"/>
      <c r="B50" s="43">
        <f>ROW(B50) - ROW($B$9)</f>
        <v>41</v>
      </c>
      <c r="C50" s="29" t="s">
        <v>51</v>
      </c>
      <c r="D50" s="29" t="s">
        <v>101</v>
      </c>
      <c r="E50" s="29" t="s">
        <v>133</v>
      </c>
      <c r="F50" s="29" t="s">
        <v>165</v>
      </c>
      <c r="G50" s="29"/>
      <c r="H50" s="29" t="s">
        <v>193</v>
      </c>
      <c r="I50" s="29"/>
      <c r="J50" s="41" t="s">
        <v>241</v>
      </c>
      <c r="K50" s="37">
        <v>1</v>
      </c>
      <c r="L50" s="37">
        <f t="shared" si="1"/>
        <v>5</v>
      </c>
      <c r="M50" s="37"/>
      <c r="N50" s="37"/>
      <c r="O50" s="63"/>
      <c r="P50" s="61">
        <f t="shared" si="2"/>
        <v>0</v>
      </c>
      <c r="Q50" s="37"/>
    </row>
    <row r="51" spans="1:17" ht="25.5" x14ac:dyDescent="0.25">
      <c r="A51" s="1"/>
      <c r="B51" s="43">
        <f t="shared" si="0"/>
        <v>42</v>
      </c>
      <c r="C51" s="30" t="s">
        <v>52</v>
      </c>
      <c r="D51" s="30" t="s">
        <v>102</v>
      </c>
      <c r="E51" s="30" t="s">
        <v>134</v>
      </c>
      <c r="F51" s="30" t="s">
        <v>166</v>
      </c>
      <c r="G51" s="30"/>
      <c r="H51" s="30" t="s">
        <v>194</v>
      </c>
      <c r="I51" s="30"/>
      <c r="J51" s="40" t="s">
        <v>241</v>
      </c>
      <c r="K51" s="38">
        <v>1</v>
      </c>
      <c r="L51" s="38">
        <f t="shared" si="1"/>
        <v>5</v>
      </c>
      <c r="M51" s="38"/>
      <c r="N51" s="38"/>
      <c r="O51" s="62"/>
      <c r="P51" s="69">
        <f t="shared" si="2"/>
        <v>0</v>
      </c>
      <c r="Q51" s="38"/>
    </row>
    <row r="52" spans="1:17" ht="25.5" x14ac:dyDescent="0.25">
      <c r="A52" s="1"/>
      <c r="B52" s="43">
        <f>ROW(B52) - ROW($B$9)</f>
        <v>43</v>
      </c>
      <c r="C52" s="29" t="s">
        <v>53</v>
      </c>
      <c r="D52" s="29" t="s">
        <v>103</v>
      </c>
      <c r="E52" s="29" t="s">
        <v>135</v>
      </c>
      <c r="F52" s="29" t="s">
        <v>167</v>
      </c>
      <c r="G52" s="29"/>
      <c r="H52" s="29" t="s">
        <v>195</v>
      </c>
      <c r="I52" s="29"/>
      <c r="J52" s="41" t="s">
        <v>241</v>
      </c>
      <c r="K52" s="37">
        <v>1</v>
      </c>
      <c r="L52" s="37">
        <f t="shared" si="1"/>
        <v>5</v>
      </c>
      <c r="M52" s="37"/>
      <c r="N52" s="37"/>
      <c r="O52" s="63"/>
      <c r="P52" s="61">
        <f t="shared" si="2"/>
        <v>0</v>
      </c>
      <c r="Q52" s="37"/>
    </row>
    <row r="53" spans="1:17" ht="25.5" x14ac:dyDescent="0.25">
      <c r="A53" s="1"/>
      <c r="B53" s="43">
        <f t="shared" si="0"/>
        <v>44</v>
      </c>
      <c r="C53" s="30" t="s">
        <v>54</v>
      </c>
      <c r="D53" s="30" t="s">
        <v>104</v>
      </c>
      <c r="E53" s="30" t="s">
        <v>136</v>
      </c>
      <c r="F53" s="30" t="s">
        <v>168</v>
      </c>
      <c r="G53" s="30"/>
      <c r="H53" s="30" t="s">
        <v>196</v>
      </c>
      <c r="I53" s="30"/>
      <c r="J53" s="40" t="s">
        <v>241</v>
      </c>
      <c r="K53" s="38">
        <v>1</v>
      </c>
      <c r="L53" s="38">
        <f t="shared" si="1"/>
        <v>5</v>
      </c>
      <c r="M53" s="38"/>
      <c r="N53" s="38"/>
      <c r="O53" s="62"/>
      <c r="P53" s="69">
        <f t="shared" si="2"/>
        <v>0</v>
      </c>
      <c r="Q53" s="38"/>
    </row>
    <row r="54" spans="1:17" ht="25.5" x14ac:dyDescent="0.25">
      <c r="A54" s="1"/>
      <c r="B54" s="43">
        <f>ROW(B54) - ROW($B$9)</f>
        <v>45</v>
      </c>
      <c r="C54" s="29" t="s">
        <v>55</v>
      </c>
      <c r="D54" s="29" t="s">
        <v>105</v>
      </c>
      <c r="E54" s="29" t="s">
        <v>137</v>
      </c>
      <c r="F54" s="29" t="s">
        <v>169</v>
      </c>
      <c r="G54" s="29"/>
      <c r="H54" s="29" t="s">
        <v>197</v>
      </c>
      <c r="I54" s="29"/>
      <c r="J54" s="41" t="s">
        <v>241</v>
      </c>
      <c r="K54" s="37">
        <v>1</v>
      </c>
      <c r="L54" s="37">
        <f t="shared" si="1"/>
        <v>5</v>
      </c>
      <c r="M54" s="37"/>
      <c r="N54" s="37"/>
      <c r="O54" s="63"/>
      <c r="P54" s="61">
        <f t="shared" si="2"/>
        <v>0</v>
      </c>
      <c r="Q54" s="37"/>
    </row>
    <row r="55" spans="1:17" ht="25.5" x14ac:dyDescent="0.25">
      <c r="A55" s="1"/>
      <c r="B55" s="43">
        <f t="shared" si="0"/>
        <v>46</v>
      </c>
      <c r="C55" s="30" t="s">
        <v>56</v>
      </c>
      <c r="D55" s="30" t="s">
        <v>106</v>
      </c>
      <c r="E55" s="30" t="s">
        <v>138</v>
      </c>
      <c r="F55" s="30" t="s">
        <v>170</v>
      </c>
      <c r="G55" s="30"/>
      <c r="H55" s="30" t="s">
        <v>198</v>
      </c>
      <c r="I55" s="30"/>
      <c r="J55" s="40" t="s">
        <v>241</v>
      </c>
      <c r="K55" s="38">
        <v>1</v>
      </c>
      <c r="L55" s="38">
        <f t="shared" si="1"/>
        <v>5</v>
      </c>
      <c r="M55" s="38"/>
      <c r="N55" s="38"/>
      <c r="O55" s="62"/>
      <c r="P55" s="69">
        <f t="shared" si="2"/>
        <v>0</v>
      </c>
      <c r="Q55" s="38"/>
    </row>
    <row r="56" spans="1:17" ht="25.5" x14ac:dyDescent="0.25">
      <c r="A56" s="1"/>
      <c r="B56" s="43">
        <f>ROW(B56) - ROW($B$9)</f>
        <v>47</v>
      </c>
      <c r="C56" s="29" t="s">
        <v>57</v>
      </c>
      <c r="D56" s="29" t="s">
        <v>107</v>
      </c>
      <c r="E56" s="29" t="s">
        <v>139</v>
      </c>
      <c r="F56" s="29" t="s">
        <v>171</v>
      </c>
      <c r="G56" s="29"/>
      <c r="H56" s="29" t="s">
        <v>199</v>
      </c>
      <c r="I56" s="29"/>
      <c r="J56" s="41" t="s">
        <v>241</v>
      </c>
      <c r="K56" s="37">
        <v>1</v>
      </c>
      <c r="L56" s="37">
        <f t="shared" si="1"/>
        <v>5</v>
      </c>
      <c r="M56" s="37"/>
      <c r="N56" s="37"/>
      <c r="O56" s="63"/>
      <c r="P56" s="61">
        <f t="shared" si="2"/>
        <v>0</v>
      </c>
      <c r="Q56" s="37"/>
    </row>
    <row r="57" spans="1:17" ht="63.75" x14ac:dyDescent="0.25">
      <c r="A57" s="1"/>
      <c r="B57" s="43">
        <f t="shared" si="0"/>
        <v>48</v>
      </c>
      <c r="C57" s="30" t="s">
        <v>58</v>
      </c>
      <c r="D57" s="30" t="s">
        <v>108</v>
      </c>
      <c r="E57" s="30" t="s">
        <v>140</v>
      </c>
      <c r="F57" s="30" t="s">
        <v>172</v>
      </c>
      <c r="G57" s="30"/>
      <c r="H57" s="30" t="s">
        <v>200</v>
      </c>
      <c r="I57" s="30"/>
      <c r="J57" s="40" t="s">
        <v>241</v>
      </c>
      <c r="K57" s="38">
        <v>1</v>
      </c>
      <c r="L57" s="38">
        <f t="shared" si="1"/>
        <v>5</v>
      </c>
      <c r="M57" s="38"/>
      <c r="N57" s="38"/>
      <c r="O57" s="62"/>
      <c r="P57" s="69">
        <f t="shared" si="2"/>
        <v>0</v>
      </c>
      <c r="Q57" s="38"/>
    </row>
    <row r="58" spans="1:17" ht="63.75" x14ac:dyDescent="0.25">
      <c r="A58" s="1"/>
      <c r="B58" s="43">
        <f>ROW(B58) - ROW($B$9)</f>
        <v>49</v>
      </c>
      <c r="C58" s="29" t="s">
        <v>59</v>
      </c>
      <c r="D58" s="29" t="s">
        <v>109</v>
      </c>
      <c r="E58" s="29" t="s">
        <v>238</v>
      </c>
      <c r="F58" s="29" t="s">
        <v>141</v>
      </c>
      <c r="G58" s="29"/>
      <c r="H58" s="29" t="s">
        <v>201</v>
      </c>
      <c r="I58" s="29"/>
      <c r="J58" s="29" t="s">
        <v>232</v>
      </c>
      <c r="K58" s="37">
        <v>1</v>
      </c>
      <c r="L58" s="37">
        <f t="shared" si="1"/>
        <v>5</v>
      </c>
      <c r="M58" s="37"/>
      <c r="N58" s="37"/>
      <c r="O58" s="63"/>
      <c r="P58" s="61">
        <f t="shared" si="2"/>
        <v>0</v>
      </c>
      <c r="Q58" s="37"/>
    </row>
    <row r="59" spans="1:17" ht="64.5" thickBot="1" x14ac:dyDescent="0.3">
      <c r="A59" s="1"/>
      <c r="B59" s="57">
        <f t="shared" si="0"/>
        <v>50</v>
      </c>
      <c r="C59" s="58" t="s">
        <v>60</v>
      </c>
      <c r="D59" s="58" t="s">
        <v>110</v>
      </c>
      <c r="E59" s="58" t="s">
        <v>238</v>
      </c>
      <c r="F59" s="58" t="s">
        <v>142</v>
      </c>
      <c r="G59" s="58"/>
      <c r="H59" s="58" t="s">
        <v>201</v>
      </c>
      <c r="I59" s="58"/>
      <c r="J59" s="58" t="s">
        <v>233</v>
      </c>
      <c r="K59" s="59">
        <v>2</v>
      </c>
      <c r="L59" s="59">
        <f t="shared" si="1"/>
        <v>10</v>
      </c>
      <c r="M59" s="59"/>
      <c r="N59" s="59"/>
      <c r="O59" s="64"/>
      <c r="P59" s="69">
        <f t="shared" si="2"/>
        <v>0</v>
      </c>
      <c r="Q59" s="59"/>
    </row>
    <row r="60" spans="1:17" x14ac:dyDescent="0.25">
      <c r="A60" s="1"/>
      <c r="B60" s="28"/>
      <c r="C60" s="26" t="s">
        <v>5</v>
      </c>
      <c r="D60" s="27"/>
      <c r="E60" s="31"/>
      <c r="F60" s="32"/>
      <c r="G60" s="32"/>
      <c r="H60" s="74"/>
      <c r="I60" s="74"/>
      <c r="J60" s="74"/>
      <c r="K60" s="74"/>
      <c r="L60" s="75"/>
    </row>
    <row r="61" spans="1:17" ht="15.75" thickBot="1" x14ac:dyDescent="0.3">
      <c r="A61" s="1"/>
      <c r="B61" s="24"/>
      <c r="C61" s="8" t="s">
        <v>6</v>
      </c>
      <c r="D61" s="9"/>
      <c r="E61" s="9"/>
      <c r="F61" s="9"/>
      <c r="G61" s="9"/>
      <c r="H61" s="76"/>
      <c r="I61" s="76"/>
      <c r="J61" s="76"/>
      <c r="K61" s="76"/>
      <c r="L61" s="77"/>
    </row>
  </sheetData>
  <mergeCells count="4">
    <mergeCell ref="Q3:Q8"/>
    <mergeCell ref="P2:Q2"/>
    <mergeCell ref="H60:L61"/>
    <mergeCell ref="J1:K1"/>
  </mergeCells>
  <hyperlinks>
    <hyperlink ref="N10" r:id="rId1" xr:uid="{DEB226BB-F561-4587-92F9-8FCEE492BB71}"/>
    <hyperlink ref="N11" r:id="rId2" xr:uid="{894371EB-F1FC-41EC-9837-9A7F584C087C}"/>
    <hyperlink ref="N12" r:id="rId3" xr:uid="{630D739D-8B28-4AD0-B4C7-519405D71085}"/>
    <hyperlink ref="N13" r:id="rId4" xr:uid="{1F710ADB-81AD-468E-BE62-6ECF75A235ED}"/>
    <hyperlink ref="N14" r:id="rId5" xr:uid="{7042A89D-180F-4192-9303-D6A77318AF00}"/>
    <hyperlink ref="N15" r:id="rId6" xr:uid="{B9345E80-6564-4BE9-BDA4-FDBF919AF583}"/>
    <hyperlink ref="N16" r:id="rId7" xr:uid="{925A5871-D919-44CC-B319-55E5BFE56ADC}"/>
    <hyperlink ref="N17" r:id="rId8" xr:uid="{1782B23F-558D-4DDB-A017-3FE1C7801A3B}"/>
    <hyperlink ref="N18" r:id="rId9" xr:uid="{C9F737F3-C0E1-4D3B-8FB7-15F80FD9261F}"/>
    <hyperlink ref="N19" r:id="rId10" xr:uid="{F02A9313-D293-492F-A7C2-D05A32EAD8D4}"/>
    <hyperlink ref="N20" r:id="rId11" xr:uid="{E9D82A2A-D9A1-43D9-99BC-1C1739C9DE0E}"/>
    <hyperlink ref="N21" r:id="rId12" xr:uid="{89B59911-AF11-467F-9A61-62C322666285}"/>
    <hyperlink ref="N22" r:id="rId13" xr:uid="{0DB19FA2-AEFD-4541-8F7C-F043F0622389}"/>
    <hyperlink ref="N23" r:id="rId14" xr:uid="{6E18BFB2-0C99-46D4-95D1-B782A1F99682}"/>
    <hyperlink ref="N24" r:id="rId15" xr:uid="{51550465-E105-4148-A849-A0650BE75713}"/>
    <hyperlink ref="N25" r:id="rId16" xr:uid="{9D1F4712-E332-406B-A65E-5C21296A974E}"/>
    <hyperlink ref="N26" r:id="rId17" xr:uid="{B26DEE9F-399A-49C8-8F33-A4193CA319E0}"/>
    <hyperlink ref="N27" r:id="rId18" xr:uid="{78E276C5-80D5-407D-88B1-27D9FB02FD43}"/>
    <hyperlink ref="N31" r:id="rId19" xr:uid="{342FCD7C-9101-4689-BEA4-7AFEFD541393}"/>
    <hyperlink ref="N32" r:id="rId20" xr:uid="{0F3AA298-F5E6-48DD-9C1F-80596FEC613D}"/>
    <hyperlink ref="N33" r:id="rId21" xr:uid="{04DD0CBC-4BA0-447E-A79B-FB098A4A3399}"/>
    <hyperlink ref="N34" r:id="rId22" xr:uid="{5CF39CF0-C041-4D60-BD0B-6F4BCAC71252}"/>
    <hyperlink ref="N35" r:id="rId23" xr:uid="{4ABD569B-92E0-4975-B460-FE3CC1918942}"/>
    <hyperlink ref="N36" r:id="rId24" xr:uid="{B60C2175-B5A0-4EE3-9A28-914E5D814646}"/>
    <hyperlink ref="N37" r:id="rId25" xr:uid="{F2FD8E5B-F126-4CF5-A5C3-F949E887F7E2}"/>
  </hyperlinks>
  <pageMargins left="0.7" right="0.7" top="0.75" bottom="0.75" header="0.3" footer="0.3"/>
  <pageSetup paperSize="9" orientation="portrait" r:id="rId26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2022-06-14T14:50:58Z</dcterms:modified>
</cp:coreProperties>
</file>