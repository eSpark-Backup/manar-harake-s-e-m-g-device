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GitHub\ColeBenson-SmartMotors\Deliverables\SM_Top Board\_BOM\"/>
    </mc:Choice>
  </mc:AlternateContent>
  <xr:revisionPtr revIDLastSave="0" documentId="13_ncr:1_{DDC9ACE1-80C7-476D-A9B7-D8AB9412CC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85" i="1" l="1"/>
  <c r="Y85" i="1"/>
  <c r="W85" i="1"/>
  <c r="AA79" i="1"/>
  <c r="AA78" i="1"/>
  <c r="Y79" i="1"/>
  <c r="N84" i="1"/>
  <c r="M84" i="1"/>
  <c r="L84" i="1"/>
  <c r="N83" i="1"/>
  <c r="M83" i="1"/>
  <c r="L83" i="1"/>
  <c r="AA82" i="1"/>
  <c r="Y82" i="1"/>
  <c r="W82" i="1"/>
  <c r="U82" i="1"/>
  <c r="N82" i="1"/>
  <c r="M82" i="1"/>
  <c r="L82" i="1"/>
  <c r="AA81" i="1"/>
  <c r="Y81" i="1"/>
  <c r="W81" i="1"/>
  <c r="U81" i="1"/>
  <c r="N81" i="1"/>
  <c r="M81" i="1"/>
  <c r="L81" i="1"/>
  <c r="AA80" i="1"/>
  <c r="Y80" i="1"/>
  <c r="W80" i="1"/>
  <c r="U80" i="1"/>
  <c r="N80" i="1"/>
  <c r="M80" i="1"/>
  <c r="L80" i="1"/>
  <c r="W79" i="1"/>
  <c r="U79" i="1"/>
  <c r="N79" i="1"/>
  <c r="M79" i="1"/>
  <c r="L79" i="1"/>
  <c r="Y78" i="1"/>
  <c r="W78" i="1"/>
  <c r="U78" i="1"/>
  <c r="N78" i="1"/>
  <c r="M78" i="1"/>
  <c r="L78" i="1"/>
  <c r="AA77" i="1"/>
  <c r="Y77" i="1"/>
  <c r="W77" i="1"/>
  <c r="U77" i="1"/>
  <c r="N77" i="1"/>
  <c r="M77" i="1"/>
  <c r="L77" i="1"/>
  <c r="AA76" i="1"/>
  <c r="Y76" i="1"/>
  <c r="W76" i="1"/>
  <c r="U76" i="1"/>
  <c r="N76" i="1"/>
  <c r="M76" i="1"/>
  <c r="L76" i="1"/>
  <c r="AA75" i="1"/>
  <c r="Y75" i="1"/>
  <c r="W75" i="1"/>
  <c r="U75" i="1"/>
  <c r="N75" i="1"/>
  <c r="M75" i="1"/>
  <c r="L75" i="1"/>
  <c r="AA74" i="1"/>
  <c r="Y74" i="1"/>
  <c r="W74" i="1"/>
  <c r="U74" i="1"/>
  <c r="N74" i="1"/>
  <c r="M74" i="1"/>
  <c r="L74" i="1"/>
  <c r="AA73" i="1"/>
  <c r="Y73" i="1"/>
  <c r="W73" i="1"/>
  <c r="U73" i="1"/>
  <c r="N73" i="1"/>
  <c r="M73" i="1"/>
  <c r="L73" i="1"/>
  <c r="AA72" i="1"/>
  <c r="Y72" i="1"/>
  <c r="W72" i="1"/>
  <c r="U72" i="1"/>
  <c r="N72" i="1"/>
  <c r="M72" i="1"/>
  <c r="L72" i="1"/>
  <c r="AA71" i="1"/>
  <c r="Y71" i="1"/>
  <c r="W71" i="1"/>
  <c r="U71" i="1"/>
  <c r="N71" i="1"/>
  <c r="M71" i="1"/>
  <c r="L71" i="1"/>
  <c r="AA70" i="1"/>
  <c r="Y70" i="1"/>
  <c r="W70" i="1"/>
  <c r="U70" i="1"/>
  <c r="N70" i="1"/>
  <c r="M70" i="1"/>
  <c r="L70" i="1"/>
  <c r="AA69" i="1"/>
  <c r="Y69" i="1"/>
  <c r="W69" i="1"/>
  <c r="U69" i="1"/>
  <c r="N69" i="1"/>
  <c r="M69" i="1"/>
  <c r="L69" i="1"/>
  <c r="AA68" i="1"/>
  <c r="Y68" i="1"/>
  <c r="W68" i="1"/>
  <c r="U68" i="1"/>
  <c r="N68" i="1"/>
  <c r="M68" i="1"/>
  <c r="L68" i="1"/>
  <c r="AA67" i="1"/>
  <c r="Y67" i="1"/>
  <c r="W67" i="1"/>
  <c r="U67" i="1"/>
  <c r="N67" i="1"/>
  <c r="M67" i="1"/>
  <c r="L67" i="1"/>
  <c r="AA66" i="1"/>
  <c r="Y66" i="1"/>
  <c r="W66" i="1"/>
  <c r="U66" i="1"/>
  <c r="N66" i="1"/>
  <c r="M66" i="1"/>
  <c r="L66" i="1"/>
  <c r="AA65" i="1"/>
  <c r="Y65" i="1"/>
  <c r="W65" i="1"/>
  <c r="U65" i="1"/>
  <c r="N65" i="1"/>
  <c r="M65" i="1"/>
  <c r="L65" i="1"/>
  <c r="AA64" i="1"/>
  <c r="Y64" i="1"/>
  <c r="W64" i="1"/>
  <c r="U64" i="1"/>
  <c r="N64" i="1"/>
  <c r="M64" i="1"/>
  <c r="L64" i="1"/>
  <c r="AA63" i="1"/>
  <c r="Y63" i="1"/>
  <c r="W63" i="1"/>
  <c r="U63" i="1"/>
  <c r="N63" i="1"/>
  <c r="M63" i="1"/>
  <c r="L63" i="1"/>
  <c r="AA62" i="1"/>
  <c r="Y62" i="1"/>
  <c r="W62" i="1"/>
  <c r="U62" i="1"/>
  <c r="N62" i="1"/>
  <c r="M62" i="1"/>
  <c r="L62" i="1"/>
  <c r="AA61" i="1"/>
  <c r="Y61" i="1"/>
  <c r="W61" i="1"/>
  <c r="U61" i="1"/>
  <c r="N61" i="1"/>
  <c r="M61" i="1"/>
  <c r="L61" i="1"/>
  <c r="AA60" i="1"/>
  <c r="Y60" i="1"/>
  <c r="W60" i="1"/>
  <c r="U60" i="1"/>
  <c r="N60" i="1"/>
  <c r="M60" i="1"/>
  <c r="L60" i="1"/>
  <c r="AA59" i="1"/>
  <c r="Y59" i="1"/>
  <c r="W59" i="1"/>
  <c r="U59" i="1"/>
  <c r="N59" i="1"/>
  <c r="M59" i="1"/>
  <c r="L59" i="1"/>
  <c r="AA58" i="1"/>
  <c r="Y58" i="1"/>
  <c r="W58" i="1"/>
  <c r="U58" i="1"/>
  <c r="N58" i="1"/>
  <c r="M58" i="1"/>
  <c r="L58" i="1"/>
  <c r="AA57" i="1"/>
  <c r="Y57" i="1"/>
  <c r="W57" i="1"/>
  <c r="U57" i="1"/>
  <c r="N57" i="1"/>
  <c r="M57" i="1"/>
  <c r="L57" i="1"/>
  <c r="AA56" i="1"/>
  <c r="Y56" i="1"/>
  <c r="W56" i="1"/>
  <c r="U56" i="1"/>
  <c r="N56" i="1"/>
  <c r="M56" i="1"/>
  <c r="L56" i="1"/>
  <c r="AA55" i="1"/>
  <c r="Y55" i="1"/>
  <c r="W55" i="1"/>
  <c r="U55" i="1"/>
  <c r="N55" i="1"/>
  <c r="M55" i="1"/>
  <c r="L55" i="1"/>
  <c r="AA54" i="1"/>
  <c r="Y54" i="1"/>
  <c r="W54" i="1"/>
  <c r="U54" i="1"/>
  <c r="N54" i="1"/>
  <c r="M54" i="1"/>
  <c r="L54" i="1"/>
  <c r="AA53" i="1"/>
  <c r="Y53" i="1"/>
  <c r="W53" i="1"/>
  <c r="U53" i="1"/>
  <c r="N53" i="1"/>
  <c r="M53" i="1"/>
  <c r="L53" i="1"/>
  <c r="AA52" i="1"/>
  <c r="Y52" i="1"/>
  <c r="W52" i="1"/>
  <c r="U52" i="1"/>
  <c r="N52" i="1"/>
  <c r="M52" i="1"/>
  <c r="L52" i="1"/>
  <c r="AA51" i="1"/>
  <c r="Y51" i="1"/>
  <c r="W51" i="1"/>
  <c r="U51" i="1"/>
  <c r="N51" i="1"/>
  <c r="M51" i="1"/>
  <c r="L51" i="1"/>
  <c r="AA50" i="1"/>
  <c r="Y50" i="1"/>
  <c r="W50" i="1"/>
  <c r="U50" i="1"/>
  <c r="N50" i="1"/>
  <c r="M50" i="1"/>
  <c r="L50" i="1"/>
  <c r="AA49" i="1"/>
  <c r="Y49" i="1"/>
  <c r="W49" i="1"/>
  <c r="U49" i="1"/>
  <c r="N49" i="1"/>
  <c r="M49" i="1"/>
  <c r="L49" i="1"/>
  <c r="AA48" i="1"/>
  <c r="Y48" i="1"/>
  <c r="W48" i="1"/>
  <c r="U48" i="1"/>
  <c r="N48" i="1"/>
  <c r="M48" i="1"/>
  <c r="L48" i="1"/>
  <c r="AA47" i="1"/>
  <c r="Y47" i="1"/>
  <c r="W47" i="1"/>
  <c r="U47" i="1"/>
  <c r="N47" i="1"/>
  <c r="M47" i="1"/>
  <c r="L47" i="1"/>
  <c r="AA46" i="1"/>
  <c r="Y46" i="1"/>
  <c r="W46" i="1"/>
  <c r="U46" i="1"/>
  <c r="N46" i="1"/>
  <c r="M46" i="1"/>
  <c r="L46" i="1"/>
  <c r="AA45" i="1"/>
  <c r="Y45" i="1"/>
  <c r="W45" i="1"/>
  <c r="U45" i="1"/>
  <c r="N45" i="1"/>
  <c r="M45" i="1"/>
  <c r="L45" i="1"/>
  <c r="AA44" i="1"/>
  <c r="Y44" i="1"/>
  <c r="W44" i="1"/>
  <c r="U44" i="1"/>
  <c r="N44" i="1"/>
  <c r="M44" i="1"/>
  <c r="L44" i="1"/>
  <c r="AA43" i="1"/>
  <c r="Y43" i="1"/>
  <c r="W43" i="1"/>
  <c r="U43" i="1"/>
  <c r="N43" i="1"/>
  <c r="M43" i="1"/>
  <c r="L43" i="1"/>
  <c r="AA42" i="1"/>
  <c r="Y42" i="1"/>
  <c r="W42" i="1"/>
  <c r="U42" i="1"/>
  <c r="N42" i="1"/>
  <c r="M42" i="1"/>
  <c r="L42" i="1"/>
  <c r="AA41" i="1"/>
  <c r="Y41" i="1"/>
  <c r="W41" i="1"/>
  <c r="U41" i="1"/>
  <c r="N41" i="1"/>
  <c r="M41" i="1"/>
  <c r="L41" i="1"/>
  <c r="AA40" i="1"/>
  <c r="Y40" i="1"/>
  <c r="W40" i="1"/>
  <c r="U40" i="1"/>
  <c r="N40" i="1"/>
  <c r="M40" i="1"/>
  <c r="L40" i="1"/>
  <c r="AA39" i="1"/>
  <c r="Y39" i="1"/>
  <c r="W39" i="1"/>
  <c r="U39" i="1"/>
  <c r="N39" i="1"/>
  <c r="M39" i="1"/>
  <c r="L39" i="1"/>
  <c r="AA38" i="1"/>
  <c r="Y38" i="1"/>
  <c r="W38" i="1"/>
  <c r="U38" i="1"/>
  <c r="N38" i="1"/>
  <c r="M38" i="1"/>
  <c r="L38" i="1"/>
  <c r="AA37" i="1"/>
  <c r="Y37" i="1"/>
  <c r="W37" i="1"/>
  <c r="U37" i="1"/>
  <c r="N37" i="1"/>
  <c r="M37" i="1"/>
  <c r="L37" i="1"/>
  <c r="AA36" i="1"/>
  <c r="Y36" i="1"/>
  <c r="W36" i="1"/>
  <c r="U36" i="1"/>
  <c r="N36" i="1"/>
  <c r="M36" i="1"/>
  <c r="L36" i="1"/>
  <c r="AA35" i="1"/>
  <c r="Y35" i="1"/>
  <c r="W35" i="1"/>
  <c r="U35" i="1"/>
  <c r="N35" i="1"/>
  <c r="M35" i="1"/>
  <c r="L35" i="1"/>
  <c r="AA34" i="1"/>
  <c r="Y34" i="1"/>
  <c r="W34" i="1"/>
  <c r="U34" i="1"/>
  <c r="N34" i="1"/>
  <c r="M34" i="1"/>
  <c r="L34" i="1"/>
  <c r="AA33" i="1"/>
  <c r="Y33" i="1"/>
  <c r="W33" i="1"/>
  <c r="U33" i="1"/>
  <c r="N33" i="1"/>
  <c r="M33" i="1"/>
  <c r="L33" i="1"/>
  <c r="AA32" i="1"/>
  <c r="Y32" i="1"/>
  <c r="W32" i="1"/>
  <c r="U32" i="1"/>
  <c r="N32" i="1"/>
  <c r="M32" i="1"/>
  <c r="L32" i="1"/>
  <c r="AA31" i="1"/>
  <c r="Y31" i="1"/>
  <c r="W31" i="1"/>
  <c r="U31" i="1"/>
  <c r="N31" i="1"/>
  <c r="M31" i="1"/>
  <c r="L31" i="1"/>
  <c r="AA30" i="1"/>
  <c r="Y30" i="1"/>
  <c r="W30" i="1"/>
  <c r="U30" i="1"/>
  <c r="N30" i="1"/>
  <c r="M30" i="1"/>
  <c r="L30" i="1"/>
  <c r="AA29" i="1"/>
  <c r="Y29" i="1"/>
  <c r="W29" i="1"/>
  <c r="U29" i="1"/>
  <c r="N29" i="1"/>
  <c r="M29" i="1"/>
  <c r="L29" i="1"/>
  <c r="AA28" i="1"/>
  <c r="Y28" i="1"/>
  <c r="W28" i="1"/>
  <c r="U28" i="1"/>
  <c r="N28" i="1"/>
  <c r="M28" i="1"/>
  <c r="L28" i="1"/>
  <c r="AA27" i="1"/>
  <c r="Y27" i="1"/>
  <c r="W27" i="1"/>
  <c r="U27" i="1"/>
  <c r="N27" i="1"/>
  <c r="M27" i="1"/>
  <c r="L27" i="1"/>
  <c r="AA26" i="1"/>
  <c r="Y26" i="1"/>
  <c r="W26" i="1"/>
  <c r="U26" i="1"/>
  <c r="N26" i="1"/>
  <c r="M26" i="1"/>
  <c r="L26" i="1"/>
  <c r="AA25" i="1"/>
  <c r="Y25" i="1"/>
  <c r="W25" i="1"/>
  <c r="U25" i="1"/>
  <c r="N25" i="1"/>
  <c r="M25" i="1"/>
  <c r="L25" i="1"/>
  <c r="AA24" i="1"/>
  <c r="Y24" i="1"/>
  <c r="W24" i="1"/>
  <c r="U24" i="1"/>
  <c r="N24" i="1"/>
  <c r="M24" i="1"/>
  <c r="L24" i="1"/>
  <c r="AA23" i="1"/>
  <c r="Y23" i="1"/>
  <c r="W23" i="1"/>
  <c r="U23" i="1"/>
  <c r="N23" i="1"/>
  <c r="M23" i="1"/>
  <c r="L23" i="1"/>
  <c r="AA22" i="1"/>
  <c r="Y22" i="1"/>
  <c r="W22" i="1"/>
  <c r="U22" i="1"/>
  <c r="N22" i="1"/>
  <c r="M22" i="1"/>
  <c r="L22" i="1"/>
  <c r="AA21" i="1"/>
  <c r="Y21" i="1"/>
  <c r="W21" i="1"/>
  <c r="U21" i="1"/>
  <c r="N21" i="1"/>
  <c r="M21" i="1"/>
  <c r="L21" i="1"/>
  <c r="AA20" i="1"/>
  <c r="Y20" i="1"/>
  <c r="W20" i="1"/>
  <c r="U20" i="1"/>
  <c r="N20" i="1"/>
  <c r="M20" i="1"/>
  <c r="L20" i="1"/>
  <c r="AA19" i="1"/>
  <c r="Y19" i="1"/>
  <c r="W19" i="1"/>
  <c r="U19" i="1"/>
  <c r="N19" i="1"/>
  <c r="M19" i="1"/>
  <c r="L19" i="1"/>
  <c r="AA18" i="1"/>
  <c r="Y18" i="1"/>
  <c r="W18" i="1"/>
  <c r="U18" i="1"/>
  <c r="N18" i="1"/>
  <c r="M18" i="1"/>
  <c r="L18" i="1"/>
  <c r="AA17" i="1"/>
  <c r="Y17" i="1"/>
  <c r="W17" i="1"/>
  <c r="U17" i="1"/>
  <c r="N17" i="1"/>
  <c r="M17" i="1"/>
  <c r="L17" i="1"/>
  <c r="AA16" i="1"/>
  <c r="Y16" i="1"/>
  <c r="W16" i="1"/>
  <c r="U16" i="1"/>
  <c r="N16" i="1"/>
  <c r="M16" i="1"/>
  <c r="L16" i="1"/>
  <c r="AA15" i="1"/>
  <c r="Y15" i="1"/>
  <c r="W15" i="1"/>
  <c r="U15" i="1"/>
  <c r="N15" i="1"/>
  <c r="M15" i="1"/>
  <c r="L15" i="1"/>
  <c r="AA14" i="1"/>
  <c r="Y14" i="1"/>
  <c r="W14" i="1"/>
  <c r="U14" i="1"/>
  <c r="N14" i="1"/>
  <c r="M14" i="1"/>
  <c r="L14" i="1"/>
  <c r="AA13" i="1"/>
  <c r="Y13" i="1"/>
  <c r="W13" i="1"/>
  <c r="U13" i="1"/>
  <c r="N13" i="1"/>
  <c r="M13" i="1"/>
  <c r="L13" i="1"/>
  <c r="AA12" i="1"/>
  <c r="Y12" i="1"/>
  <c r="W12" i="1"/>
  <c r="U12" i="1"/>
  <c r="N12" i="1"/>
  <c r="M12" i="1"/>
  <c r="L12" i="1"/>
  <c r="AA11" i="1"/>
  <c r="Y11" i="1"/>
  <c r="W11" i="1"/>
  <c r="U11" i="1"/>
  <c r="N11" i="1"/>
  <c r="M11" i="1"/>
  <c r="L11" i="1"/>
  <c r="AA10" i="1"/>
  <c r="Y10" i="1"/>
  <c r="W10" i="1"/>
  <c r="U10" i="1"/>
  <c r="N10" i="1"/>
  <c r="M10" i="1"/>
  <c r="L10" i="1"/>
  <c r="AA9" i="1"/>
  <c r="Y9" i="1"/>
  <c r="W9" i="1"/>
  <c r="U9" i="1"/>
  <c r="N9" i="1"/>
  <c r="M9" i="1"/>
  <c r="L9" i="1"/>
  <c r="AA8" i="1"/>
  <c r="Y8" i="1"/>
  <c r="W8" i="1"/>
  <c r="U8" i="1"/>
  <c r="N8" i="1"/>
  <c r="M8" i="1"/>
  <c r="L8" i="1"/>
  <c r="AA7" i="1"/>
  <c r="Y7" i="1"/>
  <c r="W7" i="1"/>
  <c r="U7" i="1"/>
  <c r="N7" i="1"/>
  <c r="M7" i="1"/>
  <c r="L7" i="1"/>
  <c r="AA6" i="1"/>
  <c r="Y6" i="1"/>
  <c r="W6" i="1"/>
  <c r="U6" i="1"/>
  <c r="N6" i="1"/>
  <c r="M6" i="1"/>
  <c r="L6" i="1"/>
  <c r="AA5" i="1"/>
  <c r="Y5" i="1"/>
  <c r="W5" i="1"/>
  <c r="U5" i="1"/>
  <c r="N5" i="1"/>
  <c r="M5" i="1"/>
  <c r="L5" i="1"/>
  <c r="AA4" i="1"/>
  <c r="Y4" i="1"/>
  <c r="W4" i="1"/>
  <c r="U4" i="1"/>
  <c r="N4" i="1"/>
  <c r="M4" i="1"/>
  <c r="L4" i="1"/>
  <c r="AA3" i="1"/>
  <c r="Y3" i="1"/>
  <c r="W3" i="1"/>
  <c r="U3" i="1"/>
  <c r="N3" i="1"/>
  <c r="M3" i="1"/>
  <c r="L3" i="1"/>
  <c r="U85" i="1" l="1"/>
  <c r="W86" i="1"/>
  <c r="Y86" i="1"/>
  <c r="AA86" i="1"/>
</calcChain>
</file>

<file path=xl/sharedStrings.xml><?xml version="1.0" encoding="utf-8"?>
<sst xmlns="http://schemas.openxmlformats.org/spreadsheetml/2006/main" count="808" uniqueCount="489">
  <si>
    <t>Bill of Material (BOM) for Cole Benson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</si>
  <si>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</si>
  <si>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</si>
  <si>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</si>
  <si>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</si>
  <si>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</si>
  <si>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</si>
  <si>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</si>
  <si>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</si>
  <si>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LCSC Part no:</t>
  </si>
  <si>
    <t>Value</t>
  </si>
  <si>
    <t>Quantity (Per Board)</t>
  </si>
  <si>
    <t>Quantity 5</t>
  </si>
  <si>
    <t>Quantity 25</t>
  </si>
  <si>
    <t>Quantity 100</t>
  </si>
  <si>
    <t>MOQ(1)</t>
  </si>
  <si>
    <t>MOQ(5)</t>
  </si>
  <si>
    <t>MOQ(25)</t>
  </si>
  <si>
    <t>MOQ(100)</t>
  </si>
  <si>
    <t>Links</t>
  </si>
  <si>
    <t>Unit Cost(1)</t>
  </si>
  <si>
    <t>Total Cost(1)</t>
  </si>
  <si>
    <t>Unit Cost (5 Boards)</t>
  </si>
  <si>
    <t>Total Cost (5)</t>
  </si>
  <si>
    <t>Unit Cost (25 Boards)</t>
  </si>
  <si>
    <t>Total Cost (25)</t>
  </si>
  <si>
    <t>Unit Cost (100 Boards)</t>
  </si>
  <si>
    <t>Total Cost (100)</t>
  </si>
  <si>
    <t>Remarks</t>
  </si>
  <si>
    <t>Capacitor</t>
  </si>
  <si>
    <t xml:space="preserve">CAP ALUM 220UF 20% 63V SMD
</t>
  </si>
  <si>
    <t>C22</t>
  </si>
  <si>
    <t>Custom</t>
  </si>
  <si>
    <t>VKME1451J221MV</t>
  </si>
  <si>
    <t>Ymin</t>
  </si>
  <si>
    <t>--------</t>
  </si>
  <si>
    <t>C487391</t>
  </si>
  <si>
    <t>220uF</t>
  </si>
  <si>
    <t>LCSC</t>
  </si>
  <si>
    <t>CAP ALUM 220UF 20% 50V SMD</t>
  </si>
  <si>
    <t>C1</t>
  </si>
  <si>
    <t>UCD1H221MNL1GS</t>
  </si>
  <si>
    <t>Nichicon</t>
  </si>
  <si>
    <t>C116211</t>
  </si>
  <si>
    <t xml:space="preserve">CAP CER 0.1UF 50V Y5V 0603
</t>
  </si>
  <si>
    <t>C2, C13, C51, C52, C53, C54, C61, CF1, CF2</t>
  </si>
  <si>
    <t>Cap0603</t>
  </si>
  <si>
    <t>CL10B104KB8NNNC</t>
  </si>
  <si>
    <t>Samsung</t>
  </si>
  <si>
    <t>C1591</t>
  </si>
  <si>
    <t>0.1uF</t>
  </si>
  <si>
    <t>CAP CER 0.1UF 50V X7R 0402</t>
  </si>
  <si>
    <t>C25, C32</t>
  </si>
  <si>
    <t>Cap 0402</t>
  </si>
  <si>
    <t>CL05B104KB54PNC</t>
  </si>
  <si>
    <t>C307331</t>
  </si>
  <si>
    <t>0.1UF</t>
  </si>
  <si>
    <t>CAP CER 10000PF 25V X7R 0402</t>
  </si>
  <si>
    <t>C3</t>
  </si>
  <si>
    <t>CC0402KRX7R8BB103</t>
  </si>
  <si>
    <t>Yageo</t>
  </si>
  <si>
    <t>C327025</t>
  </si>
  <si>
    <t>10nF</t>
  </si>
  <si>
    <t>CAP CER 0.47UF 50V X5R 0402</t>
  </si>
  <si>
    <t>C4, C46</t>
  </si>
  <si>
    <t>UMK105ABJ474KV-F</t>
  </si>
  <si>
    <t>Taiyo Yuden</t>
  </si>
  <si>
    <t>GRM155R61H474KE11D</t>
  </si>
  <si>
    <t>C437527</t>
  </si>
  <si>
    <t>0.47uF</t>
  </si>
  <si>
    <t>CAP CER 1UF 100V X7S 0805</t>
  </si>
  <si>
    <t>C55</t>
  </si>
  <si>
    <t>Cap0805</t>
  </si>
  <si>
    <t>C2012X7S2A105K125AB</t>
  </si>
  <si>
    <t>TDK</t>
  </si>
  <si>
    <t>HMK212BC7105KGHTE</t>
  </si>
  <si>
    <t>C385977</t>
  </si>
  <si>
    <t>1uF</t>
  </si>
  <si>
    <t xml:space="preserve">CAP ALUM 470UF 20% 50V SMD
</t>
  </si>
  <si>
    <t>C49</t>
  </si>
  <si>
    <t>VT1H471MI135000CE0</t>
  </si>
  <si>
    <t>Changzhou Huawei Elec</t>
  </si>
  <si>
    <t>RVT1H471M1213</t>
  </si>
  <si>
    <t>C90272</t>
  </si>
  <si>
    <t>470uF</t>
  </si>
  <si>
    <t>Dimension are same but check footprint</t>
  </si>
  <si>
    <t>CAP CER 0.47uF 50V X7R 0603</t>
  </si>
  <si>
    <t>C30</t>
  </si>
  <si>
    <t>Cap 0603</t>
  </si>
  <si>
    <t>UMK107B7474KA-TR</t>
  </si>
  <si>
    <t>C92847</t>
  </si>
  <si>
    <t xml:space="preserve">CAP CER 1UF 25V X5R 0603
</t>
  </si>
  <si>
    <t>C7</t>
  </si>
  <si>
    <t>CC0603KRX5R8BB105</t>
  </si>
  <si>
    <t>C14664</t>
  </si>
  <si>
    <t xml:space="preserve">CAP CER 2.2UF 35V X5R 0603
</t>
  </si>
  <si>
    <t>C5, C6, C14, C23, C24, C29, C34, C35, C56</t>
  </si>
  <si>
    <t>GRM188R6YA225KA12D</t>
  </si>
  <si>
    <t>Murata</t>
  </si>
  <si>
    <t>C1608X5R1V225KT000E</t>
  </si>
  <si>
    <t>C342978</t>
  </si>
  <si>
    <t>2.2uF</t>
  </si>
  <si>
    <t>CAP CER 10UF 25V X5R 0603</t>
  </si>
  <si>
    <t>C8, C10, C11, C12</t>
  </si>
  <si>
    <t>CL10A106MA8NRNC</t>
  </si>
  <si>
    <t>C2922482</t>
  </si>
  <si>
    <t>10uF</t>
  </si>
  <si>
    <t>CAP CER 0.082UF 50V X7R 0603</t>
  </si>
  <si>
    <t>C9</t>
  </si>
  <si>
    <t>CC0603KRX7R9BB823</t>
  </si>
  <si>
    <t>C107100</t>
  </si>
  <si>
    <t>82nF</t>
  </si>
  <si>
    <t>CAP CER 4.7UF 25V X5R 0603</t>
  </si>
  <si>
    <t>C33, C38, C39</t>
  </si>
  <si>
    <t>CL10A475KA8NQNC</t>
  </si>
  <si>
    <t>C69335</t>
  </si>
  <si>
    <t>4.7UF</t>
  </si>
  <si>
    <t>CAP CER 1000PF 100V X7R 0402</t>
  </si>
  <si>
    <t>C36</t>
  </si>
  <si>
    <t>885012205080</t>
  </si>
  <si>
    <t>Wurth Electronics</t>
  </si>
  <si>
    <t>CGA2B3X7S2A102KT0Y0F</t>
  </si>
  <si>
    <t>C445751</t>
  </si>
  <si>
    <t>1000pF</t>
  </si>
  <si>
    <t>CAP TANT 100UF 20% 25V 2917</t>
  </si>
  <si>
    <t>C48</t>
  </si>
  <si>
    <t>CAP- 2917</t>
  </si>
  <si>
    <t>TAJE107M025RNJ</t>
  </si>
  <si>
    <t>Kyocera AVX</t>
  </si>
  <si>
    <t>C7230</t>
  </si>
  <si>
    <t>100uF</t>
  </si>
  <si>
    <t>CAP CER 470pF 10% X7R 50V 0603 SMD</t>
  </si>
  <si>
    <t>C50</t>
  </si>
  <si>
    <t>CC0603KRX7R9BB471</t>
  </si>
  <si>
    <t>C107092</t>
  </si>
  <si>
    <t>470pF</t>
  </si>
  <si>
    <t>CAP CER 2200PF 50V X7R 0603</t>
  </si>
  <si>
    <t>C37</t>
  </si>
  <si>
    <t>CC0603KRX7R9BB222</t>
  </si>
  <si>
    <t>C107082</t>
  </si>
  <si>
    <t>2.2nF</t>
  </si>
  <si>
    <t>CAP CER 4.7UF 100V X7S 1210</t>
  </si>
  <si>
    <t>C41</t>
  </si>
  <si>
    <t>Cap1210</t>
  </si>
  <si>
    <t>HMK325C7475KN-TE</t>
  </si>
  <si>
    <t>C697607</t>
  </si>
  <si>
    <t>4.7uF</t>
  </si>
  <si>
    <t>C42</t>
  </si>
  <si>
    <t>CC0603JRNPO9BN680</t>
  </si>
  <si>
    <t>C62782</t>
  </si>
  <si>
    <t>68pF</t>
  </si>
  <si>
    <t>CAP CER 1206 47 uF 25 V ±20 % Tol. X5R</t>
  </si>
  <si>
    <t>C43, C45, C47</t>
  </si>
  <si>
    <t>Cap1206</t>
  </si>
  <si>
    <t>GRM31CR61E476ME44L</t>
  </si>
  <si>
    <t>C403725</t>
  </si>
  <si>
    <t>47uF</t>
  </si>
  <si>
    <t>CAP CER 0.02uF 50V X7R 10% SMD 0603 125°C Paper T/R</t>
  </si>
  <si>
    <t>C44</t>
  </si>
  <si>
    <t>CC0603KRX7R9BB203</t>
  </si>
  <si>
    <t>C282065</t>
  </si>
  <si>
    <t>20nF</t>
  </si>
  <si>
    <t>CAP CER 0.1UF 100V X7R 0603</t>
  </si>
  <si>
    <t>C15, C20, C40</t>
  </si>
  <si>
    <t>CC0603KRX7R0BB104</t>
  </si>
  <si>
    <t>C113803</t>
  </si>
  <si>
    <t>Cap Ceramic 0.22uF 100V X7R 10% SMD 0805 125°C Embossed T/R</t>
  </si>
  <si>
    <t>C16, C18, C19, C21</t>
  </si>
  <si>
    <t>08051C224K4T2A</t>
  </si>
  <si>
    <t>0805B224K101NT</t>
  </si>
  <si>
    <t>C967578</t>
  </si>
  <si>
    <t>220nF</t>
  </si>
  <si>
    <t>CAP CER 220nF 35V 0805</t>
  </si>
  <si>
    <t>C26, C27, C28, C31</t>
  </si>
  <si>
    <t>GMK212BJ224KGHT</t>
  </si>
  <si>
    <t>C524973</t>
  </si>
  <si>
    <t>stock:310(no alternate at LCSC) mouser has enough stock</t>
  </si>
  <si>
    <t xml:space="preserve">CAP CER 0.022UF 100V X7R 0603
</t>
  </si>
  <si>
    <t>C17</t>
  </si>
  <si>
    <t>CGA3E2X7R2A223K080AA</t>
  </si>
  <si>
    <t>C376821</t>
  </si>
  <si>
    <t>22nF</t>
  </si>
  <si>
    <t>CAP CER 1nF 100V X7R 0603</t>
  </si>
  <si>
    <t>C57, C58, C59, C60</t>
  </si>
  <si>
    <t>Res0603</t>
  </si>
  <si>
    <t>CL10B102KC8NNNC</t>
  </si>
  <si>
    <t>C153291</t>
  </si>
  <si>
    <t>1nF</t>
  </si>
  <si>
    <t>LED</t>
  </si>
  <si>
    <t>Standard LEDs - SMD SMD LED Red/Grn/Blue 625/1550/260 mcd</t>
  </si>
  <si>
    <t>LED1</t>
  </si>
  <si>
    <t>LTST-G683GEBW</t>
  </si>
  <si>
    <t>Vishay Lite-On</t>
  </si>
  <si>
    <t>-----</t>
  </si>
  <si>
    <t>Verical</t>
  </si>
  <si>
    <t>zero stock at LCSC</t>
  </si>
  <si>
    <t>LED GREEN CLEAR CHIP SMD</t>
  </si>
  <si>
    <t>LED2</t>
  </si>
  <si>
    <t>LED 0402</t>
  </si>
  <si>
    <t>XZVG68W-2</t>
  </si>
  <si>
    <t>SunLED</t>
  </si>
  <si>
    <t>16-213/GHC-YR1S1/3T</t>
  </si>
  <si>
    <t>C74338</t>
  </si>
  <si>
    <t>Diode</t>
  </si>
  <si>
    <t>Diode Schottky 30V 1A Surface Mount USC</t>
  </si>
  <si>
    <t>D1</t>
  </si>
  <si>
    <t>CUS10S30,H3F</t>
  </si>
  <si>
    <t>Toshiba</t>
  </si>
  <si>
    <t>C146335</t>
  </si>
  <si>
    <t>500μA@100V 100V Single 600mV@1A 1A SMA Schottky Barrier Diodes (SBD) ROHS</t>
  </si>
  <si>
    <t>D2</t>
  </si>
  <si>
    <t>SMA</t>
  </si>
  <si>
    <t>SSL110A</t>
  </si>
  <si>
    <t>Yangzhou</t>
  </si>
  <si>
    <t>C698870</t>
  </si>
  <si>
    <t>40V 500mV@2A 2A SMA(DO-214AC) Schottky Barrier Diodes (SBD) ROHS</t>
  </si>
  <si>
    <t>D3</t>
  </si>
  <si>
    <t>SS24A</t>
  </si>
  <si>
    <t>C211773</t>
  </si>
  <si>
    <t>DIODE SCHOTTKY 30V 1A SOD123W</t>
  </si>
  <si>
    <t>D4, D5, D6, D7, D8, D9, D10, D11</t>
  </si>
  <si>
    <t>SOD-123W</t>
  </si>
  <si>
    <t>PMEG3010ER,115</t>
  </si>
  <si>
    <t>Vishay Semiconductors</t>
  </si>
  <si>
    <t>Quote required</t>
  </si>
  <si>
    <t>Fuse</t>
  </si>
  <si>
    <t>FUSE BOARD MNT 15A 125VAC 32VDC</t>
  </si>
  <si>
    <t>F1</t>
  </si>
  <si>
    <t>0685H9150-01</t>
  </si>
  <si>
    <t xml:space="preserve">Bel Fuse Inc.
</t>
  </si>
  <si>
    <t>Inductor</t>
  </si>
  <si>
    <t>Inductor Power Shielded Wirewound 220uH 20% 1KHz Ferrite 1.3A 310mOhm DCR Blister T/R</t>
  </si>
  <si>
    <t>L1</t>
  </si>
  <si>
    <t>SLF12575T-221M1R3-PF</t>
  </si>
  <si>
    <t>C93225</t>
  </si>
  <si>
    <t>220uH</t>
  </si>
  <si>
    <t>1A 15uH ±20% 190mΩ SMD Power Inductors ROHS</t>
  </si>
  <si>
    <t>L2</t>
  </si>
  <si>
    <t>MPIT4018-150M-LF</t>
  </si>
  <si>
    <t>microgate</t>
  </si>
  <si>
    <t>C281265</t>
  </si>
  <si>
    <t>15uH</t>
  </si>
  <si>
    <t>Ferrite Beads Multi-Layer 120Ohm 25% 100MHz 2A 45mOhm DCR 0603 Automotive T/R</t>
  </si>
  <si>
    <t>FB1, FB2, FB3, FB4</t>
  </si>
  <si>
    <t>MPZ1608S121ATDH5</t>
  </si>
  <si>
    <t>BLM18EG101TN1D</t>
  </si>
  <si>
    <t>C76893</t>
  </si>
  <si>
    <t>Impedance @ Frequency is changed</t>
  </si>
  <si>
    <t>Mosfet</t>
  </si>
  <si>
    <t>MOSFET N-CH 80V 74A 8TDSON</t>
  </si>
  <si>
    <t>Q2, Q3, Q4, Q5, Q6, Q7, Q8, Q9</t>
  </si>
  <si>
    <t>8-PowerTDFN</t>
  </si>
  <si>
    <t>BSC072N08NS5ATMA1</t>
  </si>
  <si>
    <t xml:space="preserve">Infineon Technologies
</t>
  </si>
  <si>
    <t>Aliexpress</t>
  </si>
  <si>
    <t>Resistor</t>
  </si>
  <si>
    <t>RES SMD 5.1K OHM 5% 1/10W 0603</t>
  </si>
  <si>
    <t>R1, R2</t>
  </si>
  <si>
    <t>RC0603JR-075K1L</t>
  </si>
  <si>
    <t>C14677</t>
  </si>
  <si>
    <t>5.1K</t>
  </si>
  <si>
    <t>Res 0603 3.9K Ohm 1% 0.1W(1/10W) ±100ppm/°C Pad SMD T/R</t>
  </si>
  <si>
    <t>R3</t>
  </si>
  <si>
    <t>RC0603FR-073K9L</t>
  </si>
  <si>
    <t>C114616</t>
  </si>
  <si>
    <t>3.9K</t>
  </si>
  <si>
    <t>RES SMD 0R, 1%, 0.1W, 0603</t>
  </si>
  <si>
    <t>R5, R32</t>
  </si>
  <si>
    <t>RC0603FR-070RL</t>
  </si>
  <si>
    <t>C100044</t>
  </si>
  <si>
    <t>0R</t>
  </si>
  <si>
    <t>RES SMD 2K OHM 1% 1/10W 0603</t>
  </si>
  <si>
    <t>R4, R35, R39</t>
  </si>
  <si>
    <t>RC0603FR-072KL</t>
  </si>
  <si>
    <t>C105576</t>
  </si>
  <si>
    <t>2K</t>
  </si>
  <si>
    <t>RES SMD 47OHM 0.1W 0603</t>
  </si>
  <si>
    <t>R6, R7, R8, R9</t>
  </si>
  <si>
    <t>RC0603FR-0747RL</t>
  </si>
  <si>
    <t>C114623</t>
  </si>
  <si>
    <t>47R</t>
  </si>
  <si>
    <t xml:space="preserve">RES 0.033 OHM 1% 2W 2512
</t>
  </si>
  <si>
    <t>R10, R11, R12, R13</t>
  </si>
  <si>
    <t>RES 2512</t>
  </si>
  <si>
    <t>CRH2512FR033E04Z</t>
  </si>
  <si>
    <t>Ever Ohms Tech</t>
  </si>
  <si>
    <t>LMP25NF2P0R033</t>
  </si>
  <si>
    <t>C2838960</t>
  </si>
  <si>
    <t>33m</t>
  </si>
  <si>
    <t>Temp: coefficient is changed</t>
  </si>
  <si>
    <t>RES SMD 150OHM 1/10W 0603</t>
  </si>
  <si>
    <t>R14, R15, R16, R17, R18, R19, R20, R26</t>
  </si>
  <si>
    <t>RC0603FR-07150RL</t>
  </si>
  <si>
    <t>C114608</t>
  </si>
  <si>
    <t>150R</t>
  </si>
  <si>
    <t>RES SMD 3.01K OHM 1% 1/10W 0603</t>
  </si>
  <si>
    <t>R21</t>
  </si>
  <si>
    <t>ERJ3EKF3011V</t>
  </si>
  <si>
    <t>FRC0603F3011TS</t>
  </si>
  <si>
    <t>C2933193</t>
  </si>
  <si>
    <t>3.01K</t>
  </si>
  <si>
    <t>Overload voltage ratting is different</t>
  </si>
  <si>
    <t>RES SMD 11K, 1%, 0.1W, 0603</t>
  </si>
  <si>
    <t>R22</t>
  </si>
  <si>
    <t>RC0603FR-0711KL</t>
  </si>
  <si>
    <t>C137801</t>
  </si>
  <si>
    <t>11K</t>
  </si>
  <si>
    <t>RES SMD 2.2OHM 0603</t>
  </si>
  <si>
    <t>R23</t>
  </si>
  <si>
    <t>ERJ3GEYJ2R2V</t>
  </si>
  <si>
    <t>Panasonic Electronic Components</t>
  </si>
  <si>
    <t>0603WAJ022JT5E</t>
  </si>
  <si>
    <t>C25226</t>
  </si>
  <si>
    <t>2R2</t>
  </si>
  <si>
    <t>RES SMD 12.4K OHM 1% 1/10W 0603</t>
  </si>
  <si>
    <t>R24</t>
  </si>
  <si>
    <t>RC0603FR-0712K4L</t>
  </si>
  <si>
    <t>C137798</t>
  </si>
  <si>
    <t>12.4K</t>
  </si>
  <si>
    <t>RES SMD 143 OHM 1% 1/10W 0603</t>
  </si>
  <si>
    <t>R25</t>
  </si>
  <si>
    <t>ERJ3EKF1430V</t>
  </si>
  <si>
    <t>C400649</t>
  </si>
  <si>
    <t>143R</t>
  </si>
  <si>
    <t>RES SMD 11.8K OHM 1% 1/10W 0603</t>
  </si>
  <si>
    <t>R27</t>
  </si>
  <si>
    <t>AC0603FR-0711K8L</t>
  </si>
  <si>
    <t>C227561</t>
  </si>
  <si>
    <t>11.8K</t>
  </si>
  <si>
    <t>RES SMD 105K OHM 1% 1/10W 0603</t>
  </si>
  <si>
    <t>R28</t>
  </si>
  <si>
    <t>RC0603FR-07105KL</t>
  </si>
  <si>
    <t>C141685</t>
  </si>
  <si>
    <t>105K</t>
  </si>
  <si>
    <t>RES SMD 127K OHM 1% 1/10W 0603</t>
  </si>
  <si>
    <t>R29</t>
  </si>
  <si>
    <t>RT0603FRE07127KL</t>
  </si>
  <si>
    <t>C706120</t>
  </si>
  <si>
    <t>127K</t>
  </si>
  <si>
    <t>R30</t>
  </si>
  <si>
    <t>Res-0201</t>
  </si>
  <si>
    <t>10K</t>
  </si>
  <si>
    <t>R31</t>
  </si>
  <si>
    <t>Res Thick Film 0603 240 Ohm 1% 1/10W +/-100ppm/ßC Molded SMD Paper T/R</t>
  </si>
  <si>
    <t>R33, R34</t>
  </si>
  <si>
    <t>RC0603FR-07240RL</t>
  </si>
  <si>
    <t>C114613</t>
  </si>
  <si>
    <t>240R</t>
  </si>
  <si>
    <t>Res SMD 0603 51.1K Ohm 0.1% 1/10W</t>
  </si>
  <si>
    <t>R36</t>
  </si>
  <si>
    <t>ERA3AEB5112V</t>
  </si>
  <si>
    <t>Panasonic</t>
  </si>
  <si>
    <t>C491138</t>
  </si>
  <si>
    <t>51.1K</t>
  </si>
  <si>
    <t>RES SMD 1M OHM 1% 1/20W 0201</t>
  </si>
  <si>
    <t>R37</t>
  </si>
  <si>
    <t>RC0201FR-071ML</t>
  </si>
  <si>
    <t>C295786</t>
  </si>
  <si>
    <t>1M</t>
  </si>
  <si>
    <t>Res SMD 0603 90.9K Ohm 1% 1/10W</t>
  </si>
  <si>
    <t>R38</t>
  </si>
  <si>
    <t>ERJ3EKF9092V</t>
  </si>
  <si>
    <t>C403390</t>
  </si>
  <si>
    <t>90.9K</t>
  </si>
  <si>
    <t>R40</t>
  </si>
  <si>
    <t>0603WAF1201T5E</t>
  </si>
  <si>
    <t>UNI-ROYAL</t>
  </si>
  <si>
    <t>C22765</t>
  </si>
  <si>
    <t>1.2K</t>
  </si>
  <si>
    <t>R41</t>
  </si>
  <si>
    <t>RTT03R330FTP</t>
  </si>
  <si>
    <t>RALEC</t>
  </si>
  <si>
    <t>C103893</t>
  </si>
  <si>
    <t>0.33R</t>
  </si>
  <si>
    <t>RES SMD 10K Ohm 1% 1/10W 0603</t>
  </si>
  <si>
    <t>RF1, RF2, RF3, RF4</t>
  </si>
  <si>
    <t>RC0603FR-0710KL</t>
  </si>
  <si>
    <t>C98220</t>
  </si>
  <si>
    <t>Switch</t>
  </si>
  <si>
    <t>Memontary Tactile Push Button Switch 6X6X4.3 / 4.5 / 5/6/7/8/9/10 / 13mm SMD</t>
  </si>
  <si>
    <t>SW1</t>
  </si>
  <si>
    <t>Tactile Switch 13mm Actuator</t>
  </si>
  <si>
    <t>WIN ELEC-TECH CO., LTD</t>
  </si>
  <si>
    <t>----</t>
  </si>
  <si>
    <t>Transformer</t>
  </si>
  <si>
    <t>XFRMR ISOL BUCK DC/DC CONV SMD</t>
  </si>
  <si>
    <t>T1</t>
  </si>
  <si>
    <t>750314597</t>
  </si>
  <si>
    <t>Wurth Electronics Midcom</t>
  </si>
  <si>
    <t>Ics</t>
  </si>
  <si>
    <t>IC REG BUCK FLYBCK ADJ 12WSON</t>
  </si>
  <si>
    <t>U1</t>
  </si>
  <si>
    <t>12WSON</t>
  </si>
  <si>
    <t>LM5160ADNTR</t>
  </si>
  <si>
    <t>Texas Instruments</t>
  </si>
  <si>
    <t>Winsource</t>
  </si>
  <si>
    <t>3.5V to 36V, 3A Synchronous Step-Down Voltage Converter 16-HTSSOP -40 to 125</t>
  </si>
  <si>
    <t>U3</t>
  </si>
  <si>
    <t>HTSSOP-16</t>
  </si>
  <si>
    <t>LM43603PWPR</t>
  </si>
  <si>
    <t>IC REG LINEAR 3.3V 1A 6UDFN</t>
  </si>
  <si>
    <t>U2</t>
  </si>
  <si>
    <t>6-UDFN (3x3)</t>
  </si>
  <si>
    <t>NCP708MU330TAG</t>
  </si>
  <si>
    <t>ON Semiconductor</t>
  </si>
  <si>
    <t>IC REG CHARGE PUMP 5V 140MA 6SON</t>
  </si>
  <si>
    <t>U4</t>
  </si>
  <si>
    <t>6SON</t>
  </si>
  <si>
    <t>TPS60150DRVR</t>
  </si>
  <si>
    <t>1.5-A boost, buck, inverting switching regulator, operation from 0°C to 70°C 8-SOIC 0 to 70</t>
  </si>
  <si>
    <t>U5</t>
  </si>
  <si>
    <t>SOIC-8</t>
  </si>
  <si>
    <t>MC34063ADR</t>
  </si>
  <si>
    <t>C100023</t>
  </si>
  <si>
    <t>IC MTR DRVR BIPOLAR 8-60V 48TQFP</t>
  </si>
  <si>
    <t>U6</t>
  </si>
  <si>
    <t>48-tqfp-ep (7x7)</t>
  </si>
  <si>
    <t>TMC5160A-TA-T</t>
  </si>
  <si>
    <t>IC OPAMP GP 1.7MHZ RRO SOT23-6</t>
  </si>
  <si>
    <t>U7</t>
  </si>
  <si>
    <t>SOT-23-6</t>
  </si>
  <si>
    <t>MAX4236EUT+T</t>
  </si>
  <si>
    <t>Maxim Integrated</t>
  </si>
  <si>
    <t>DGTL ISO 3000VRMS 4CH 16SSOP</t>
  </si>
  <si>
    <t>U8</t>
  </si>
  <si>
    <t>16SSOP</t>
  </si>
  <si>
    <t>ISO7741QDBQQ1</t>
  </si>
  <si>
    <t>DGTL ISO 600VRMS 6CH GP 16SOIC</t>
  </si>
  <si>
    <t>U9</t>
  </si>
  <si>
    <t>16SOIC</t>
  </si>
  <si>
    <t>MAX14850ASE+</t>
  </si>
  <si>
    <t>Maxim</t>
  </si>
  <si>
    <t>IC BUS BUFFER TRI-ST QD 14TSSOP</t>
  </si>
  <si>
    <t>U10</t>
  </si>
  <si>
    <t>14TSSOP</t>
  </si>
  <si>
    <t>SN74LVTH125PWR</t>
  </si>
  <si>
    <t>C7042</t>
  </si>
  <si>
    <t>Connectors</t>
  </si>
  <si>
    <t>USB - Type C Female 24 SMD USB Connectors RoHS</t>
  </si>
  <si>
    <t>J1</t>
  </si>
  <si>
    <t>MC-318</t>
  </si>
  <si>
    <t>SOFNG</t>
  </si>
  <si>
    <t>C183608</t>
  </si>
  <si>
    <t>Conn RJ-25 F 6 POS 2.54mm Solder ST Thru-Hole 4 Terminal 1 Port Tray Cat 3</t>
  </si>
  <si>
    <t>J2, J5</t>
  </si>
  <si>
    <t>5520425-2</t>
  </si>
  <si>
    <t>TE Connectivity AMP Connectors</t>
  </si>
  <si>
    <t>Onlinecomponents</t>
  </si>
  <si>
    <t>CONN HEADER SMD 26POS 1.27MM</t>
  </si>
  <si>
    <t>J3</t>
  </si>
  <si>
    <t>M55-7012642R</t>
  </si>
  <si>
    <t>Harwin</t>
  </si>
  <si>
    <t>CONN HEADER VERT 4POS 2.5MM</t>
  </si>
  <si>
    <t>J4</t>
  </si>
  <si>
    <t>B4B-XH-A(LF)(SN)</t>
  </si>
  <si>
    <t>JST Sales America Inc.</t>
  </si>
  <si>
    <t>C144395</t>
  </si>
  <si>
    <t>XT60 CONNECTORS MALE/FEMALE PAIR</t>
  </si>
  <si>
    <t>P1, P2</t>
  </si>
  <si>
    <t>PRT-10474</t>
  </si>
  <si>
    <t>SparkFun Electronics</t>
  </si>
  <si>
    <t>Price for Pair</t>
  </si>
  <si>
    <t>CONN HEADER VERT 2POS 2.54MM</t>
  </si>
  <si>
    <t>P7, P8, P9, P10</t>
  </si>
  <si>
    <t>HDR1X2</t>
  </si>
  <si>
    <t>Würth Elektronik</t>
  </si>
  <si>
    <t>X6511WV-02H-C30D60</t>
  </si>
  <si>
    <t>C706874</t>
  </si>
  <si>
    <t>Test Point ON</t>
  </si>
  <si>
    <t>P3, P4, P5, P6</t>
  </si>
  <si>
    <t>TEST POINT</t>
  </si>
  <si>
    <t xml:space="preserve">DO NOT MOUNT </t>
  </si>
  <si>
    <t>Solder Bridge ON</t>
  </si>
  <si>
    <t>SB1, SB2, SB3, SB4, SB5, SB6, SB7, SB8, SB9, SB10, SB11</t>
  </si>
  <si>
    <t>Solder Bridge</t>
  </si>
  <si>
    <t xml:space="preserve">Total Component Cost </t>
  </si>
  <si>
    <t>Single Board Cost</t>
  </si>
  <si>
    <t>68pF 5% C0G 50V 0603 Paper T/R</t>
  </si>
  <si>
    <t>Custom Supplier</t>
  </si>
  <si>
    <t>100K</t>
  </si>
  <si>
    <t xml:space="preserve">RES 100K OHM 5% 1/10W 0603
</t>
  </si>
  <si>
    <t xml:space="preserve">RC0603JR-07100KL
</t>
  </si>
  <si>
    <t>C100048</t>
  </si>
  <si>
    <t>191K</t>
  </si>
  <si>
    <t>RC0603FR-07191KL</t>
  </si>
  <si>
    <t>RES 191K OHM 1% 1/10W 0603</t>
  </si>
  <si>
    <t>C273767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</si>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</sst>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&quot;$&quot;#,##0.0000_);[Red]\(&quot;$&quot;#,##0.0000\)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2"/>
      <color theme="0"/>
      <name val="Calibri"/>
      <charset val="134"/>
    </font>
    <font>
      <b/>
      <sz val="11"/>
      <color theme="0"/>
      <name val="Calibri"/>
      <charset val="134"/>
    </font>
    <font>
      <b/>
      <sz val="10"/>
      <color theme="0"/>
      <name val="Calibri"/>
      <charset val="134"/>
    </font>
    <font>
      <b/>
      <sz val="10"/>
      <color theme="1"/>
      <name val="Calibri"/>
      <charset val="134"/>
    </font>
    <font>
      <strike/>
      <sz val="10"/>
      <color rgb="FFFF0000"/>
      <name val="Calibri"/>
      <charset val="134"/>
    </font>
    <font>
      <sz val="10"/>
      <color rgb="FF333333"/>
      <name val="Calibri"/>
      <charset val="134"/>
    </font>
    <font>
      <sz val="10"/>
      <color rgb="FFFF0000"/>
      <name val="Calibri"/>
      <charset val="134"/>
    </font>
    <font>
      <u/>
      <sz val="10"/>
      <color rgb="FF800080"/>
      <name val="Calibri"/>
    </font>
    <font>
      <u/>
      <sz val="10"/>
      <color rgb="FF0000FF"/>
      <name val="Calibri"/>
    </font>
    <font>
      <b/>
      <sz val="14"/>
      <name val="Calibri"/>
      <charset val="134"/>
    </font>
    <font>
      <b/>
      <sz val="10"/>
      <color rgb="FFFF0000"/>
      <name val="Calibri"/>
      <charset val="134"/>
    </font>
    <font>
      <b/>
      <sz val="10"/>
      <name val="Calibri"/>
      <charset val="134"/>
    </font>
    <font>
      <b/>
      <strike/>
      <sz val="10"/>
      <color theme="1"/>
      <name val="Calibri"/>
      <charset val="134"/>
    </font>
    <font>
      <b/>
      <strike/>
      <sz val="10"/>
      <color rgb="FFFF0000"/>
      <name val="Calibri"/>
      <charset val="134"/>
    </font>
    <font>
      <u/>
      <sz val="11"/>
      <color rgb="FF0000FF"/>
      <name val="Calibri"/>
      <scheme val="minor"/>
    </font>
    <font>
      <u/>
      <sz val="10"/>
      <color rgb="FF0000FF"/>
      <name val="Calibri"/>
      <family val="2"/>
    </font>
    <font>
      <sz val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5" borderId="12" xfId="0" applyNumberFormat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9" xfId="1" applyFont="1" applyFill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0" fontId="10" fillId="0" borderId="15" xfId="1" applyFont="1" applyFill="1" applyBorder="1" applyAlignment="1">
      <alignment horizontal="center" vertical="center"/>
    </xf>
    <xf numFmtId="165" fontId="1" fillId="0" borderId="15" xfId="0" applyNumberFormat="1" applyFont="1" applyFill="1" applyBorder="1" applyAlignment="1">
      <alignment horizontal="center" vertical="center"/>
    </xf>
    <xf numFmtId="165" fontId="1" fillId="0" borderId="16" xfId="0" applyNumberFormat="1" applyFont="1" applyFill="1" applyBorder="1" applyAlignment="1">
      <alignment horizontal="center" vertical="center"/>
    </xf>
    <xf numFmtId="165" fontId="1" fillId="0" borderId="17" xfId="0" applyNumberFormat="1" applyFont="1" applyFill="1" applyBorder="1" applyAlignment="1">
      <alignment horizontal="center" vertical="center"/>
    </xf>
    <xf numFmtId="165" fontId="1" fillId="5" borderId="17" xfId="0" applyNumberFormat="1" applyFont="1" applyFill="1" applyBorder="1" applyAlignment="1">
      <alignment horizontal="center" vertical="center"/>
    </xf>
    <xf numFmtId="165" fontId="1" fillId="4" borderId="17" xfId="0" applyNumberFormat="1" applyFont="1" applyFill="1" applyBorder="1" applyAlignment="1">
      <alignment horizontal="center" vertical="center"/>
    </xf>
    <xf numFmtId="165" fontId="5" fillId="4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Fill="1" applyBorder="1" applyAlignment="1">
      <alignment horizontal="center" vertical="center"/>
    </xf>
    <xf numFmtId="165" fontId="1" fillId="5" borderId="16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165" fontId="5" fillId="4" borderId="19" xfId="0" applyNumberFormat="1" applyFont="1" applyFill="1" applyBorder="1" applyAlignment="1">
      <alignment horizontal="center" vertical="center"/>
    </xf>
    <xf numFmtId="165" fontId="5" fillId="4" borderId="16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165" fontId="1" fillId="5" borderId="15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8" fontId="1" fillId="0" borderId="0" xfId="0" applyNumberFormat="1" applyFont="1" applyFill="1" applyBorder="1" applyAlignment="1">
      <alignment horizontal="center" vertical="center"/>
    </xf>
    <xf numFmtId="8" fontId="1" fillId="0" borderId="0" xfId="0" applyNumberFormat="1" applyFont="1" applyFill="1" applyBorder="1" applyAlignment="1">
      <alignment horizontal="center" vertical="center"/>
    </xf>
    <xf numFmtId="165" fontId="1" fillId="0" borderId="19" xfId="0" applyNumberFormat="1" applyFont="1" applyFill="1" applyBorder="1" applyAlignment="1">
      <alignment horizontal="center" vertical="center"/>
    </xf>
    <xf numFmtId="165" fontId="1" fillId="5" borderId="19" xfId="0" applyNumberFormat="1" applyFont="1" applyFill="1" applyBorder="1" applyAlignment="1">
      <alignment horizontal="center" vertical="center"/>
    </xf>
    <xf numFmtId="165" fontId="14" fillId="3" borderId="17" xfId="0" applyNumberFormat="1" applyFont="1" applyFill="1" applyBorder="1" applyAlignment="1">
      <alignment horizontal="center" vertical="center"/>
    </xf>
    <xf numFmtId="165" fontId="1" fillId="0" borderId="17" xfId="0" applyNumberFormat="1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left" vertical="center"/>
    </xf>
    <xf numFmtId="0" fontId="6" fillId="5" borderId="1" xfId="0" quotePrefix="1" applyFont="1" applyFill="1" applyBorder="1" applyAlignment="1">
      <alignment horizontal="center" vertical="center"/>
    </xf>
    <xf numFmtId="0" fontId="8" fillId="6" borderId="1" xfId="0" quotePrefix="1" applyFont="1" applyFill="1" applyBorder="1" applyAlignment="1">
      <alignment horizontal="center" vertical="center"/>
    </xf>
    <xf numFmtId="0" fontId="8" fillId="5" borderId="1" xfId="0" quotePrefix="1" applyFont="1" applyFill="1" applyBorder="1" applyAlignment="1">
      <alignment horizontal="center" vertical="center"/>
    </xf>
    <xf numFmtId="0" fontId="6" fillId="5" borderId="8" xfId="0" quotePrefix="1" applyFont="1" applyFill="1" applyBorder="1" applyAlignment="1">
      <alignment horizontal="left" vertical="center"/>
    </xf>
    <xf numFmtId="0" fontId="6" fillId="5" borderId="9" xfId="0" quotePrefix="1" applyFont="1" applyFill="1" applyBorder="1" applyAlignment="1">
      <alignment horizontal="center" vertical="center"/>
    </xf>
    <xf numFmtId="0" fontId="8" fillId="6" borderId="9" xfId="0" quotePrefix="1" applyFont="1" applyFill="1" applyBorder="1" applyAlignment="1">
      <alignment horizontal="center" vertical="center"/>
    </xf>
    <xf numFmtId="0" fontId="8" fillId="5" borderId="9" xfId="0" quotePrefix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6" fillId="0" borderId="1" xfId="1" applyFill="1" applyBorder="1" applyAlignment="1">
      <alignment horizontal="center" vertical="center"/>
    </xf>
    <xf numFmtId="0" fontId="6" fillId="5" borderId="9" xfId="0" quotePrefix="1" applyFont="1" applyFill="1" applyBorder="1" applyAlignment="1">
      <alignment horizontal="center" vertical="center" wrapText="1"/>
    </xf>
    <xf numFmtId="0" fontId="18" fillId="0" borderId="3" xfId="0" quotePrefix="1" applyFont="1" applyFill="1" applyBorder="1" applyAlignment="1">
      <alignment horizontal="left" vertical="center"/>
    </xf>
    <xf numFmtId="0" fontId="18" fillId="0" borderId="4" xfId="0" quotePrefix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6" xfId="0" quotePrefix="1" applyFont="1" applyFill="1" applyBorder="1" applyAlignment="1">
      <alignment horizontal="left" vertical="center"/>
    </xf>
    <xf numFmtId="0" fontId="18" fillId="0" borderId="1" xfId="0" quotePrefix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quotePrefix="1" applyFont="1" applyFill="1" applyBorder="1" applyAlignment="1">
      <alignment horizontal="center" vertical="center"/>
    </xf>
    <xf numFmtId="0" fontId="18" fillId="3" borderId="6" xfId="0" quotePrefix="1" applyFont="1" applyFill="1" applyBorder="1" applyAlignment="1">
      <alignment horizontal="left" vertical="center"/>
    </xf>
    <xf numFmtId="0" fontId="18" fillId="3" borderId="1" xfId="0" quotePrefix="1" applyFont="1" applyFill="1" applyBorder="1" applyAlignment="1">
      <alignment horizontal="center" vertical="center" wrapText="1"/>
    </xf>
    <xf numFmtId="0" fontId="18" fillId="0" borderId="8" xfId="0" quotePrefix="1" applyFont="1" applyFill="1" applyBorder="1" applyAlignment="1">
      <alignment horizontal="left" vertical="center"/>
    </xf>
    <xf numFmtId="0" fontId="18" fillId="0" borderId="9" xfId="0" quotePrefix="1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5" borderId="11" xfId="0" quotePrefix="1" applyFont="1" applyFill="1" applyBorder="1" applyAlignment="1">
      <alignment horizontal="left" vertical="center"/>
    </xf>
    <xf numFmtId="0" fontId="18" fillId="5" borderId="12" xfId="0" quotePrefix="1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0" borderId="14" xfId="0" quotePrefix="1" applyFont="1" applyFill="1" applyBorder="1" applyAlignment="1">
      <alignment horizontal="left" vertical="center"/>
    </xf>
    <xf numFmtId="0" fontId="18" fillId="3" borderId="15" xfId="0" quotePrefix="1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3" borderId="4" xfId="0" quotePrefix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5" borderId="14" xfId="0" quotePrefix="1" applyFont="1" applyFill="1" applyBorder="1" applyAlignment="1">
      <alignment horizontal="left" vertical="center"/>
    </xf>
    <xf numFmtId="0" fontId="18" fillId="5" borderId="15" xfId="0" quotePrefix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center" vertical="center"/>
    </xf>
    <xf numFmtId="0" fontId="19" fillId="0" borderId="9" xfId="0" quotePrefix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8" fillId="7" borderId="6" xfId="0" quotePrefix="1" applyFont="1" applyFill="1" applyBorder="1" applyAlignment="1">
      <alignment horizontal="left" vertical="center"/>
    </xf>
    <xf numFmtId="0" fontId="18" fillId="7" borderId="1" xfId="0" quotePrefix="1" applyFont="1" applyFill="1" applyBorder="1" applyAlignment="1">
      <alignment horizontal="center" vertical="center" wrapText="1"/>
    </xf>
    <xf numFmtId="0" fontId="18" fillId="7" borderId="1" xfId="0" quotePrefix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18" fillId="5" borderId="8" xfId="0" quotePrefix="1" applyFont="1" applyFill="1" applyBorder="1" applyAlignment="1">
      <alignment horizontal="left" vertical="center"/>
    </xf>
    <xf numFmtId="0" fontId="18" fillId="5" borderId="9" xfId="0" quotePrefix="1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165" fontId="1" fillId="5" borderId="9" xfId="0" applyNumberFormat="1" applyFont="1" applyFill="1" applyBorder="1" applyAlignment="1">
      <alignment horizontal="center" vertical="center"/>
    </xf>
    <xf numFmtId="165" fontId="1" fillId="5" borderId="18" xfId="0" applyNumberFormat="1" applyFont="1" applyFill="1" applyBorder="1" applyAlignment="1">
      <alignment horizontal="center" vertical="center"/>
    </xf>
    <xf numFmtId="0" fontId="18" fillId="8" borderId="3" xfId="0" quotePrefix="1" applyFont="1" applyFill="1" applyBorder="1" applyAlignment="1">
      <alignment horizontal="left" vertical="center"/>
    </xf>
    <xf numFmtId="0" fontId="18" fillId="8" borderId="4" xfId="0" applyFont="1" applyFill="1" applyBorder="1" applyAlignment="1">
      <alignment horizontal="center" vertical="center"/>
    </xf>
    <xf numFmtId="0" fontId="18" fillId="8" borderId="4" xfId="0" quotePrefix="1" applyFont="1" applyFill="1" applyBorder="1" applyAlignment="1">
      <alignment horizontal="center" vertical="center"/>
    </xf>
    <xf numFmtId="0" fontId="18" fillId="8" borderId="6" xfId="0" quotePrefix="1" applyFont="1" applyFill="1" applyBorder="1" applyAlignment="1">
      <alignment horizontal="left" vertical="center"/>
    </xf>
    <xf numFmtId="0" fontId="18" fillId="8" borderId="1" xfId="0" quotePrefix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9" borderId="6" xfId="0" quotePrefix="1" applyFont="1" applyFill="1" applyBorder="1" applyAlignment="1">
      <alignment horizontal="left" vertical="center"/>
    </xf>
    <xf numFmtId="0" fontId="18" fillId="9" borderId="1" xfId="0" quotePrefix="1" applyFont="1" applyFill="1" applyBorder="1" applyAlignment="1">
      <alignment horizontal="center" vertical="center"/>
    </xf>
    <xf numFmtId="0" fontId="19" fillId="9" borderId="1" xfId="0" quotePrefix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6" xfId="0" quotePrefix="1" applyFont="1" applyFill="1" applyBorder="1" applyAlignment="1">
      <alignment horizontal="left" vertical="center"/>
    </xf>
    <xf numFmtId="0" fontId="18" fillId="10" borderId="1" xfId="0" quotePrefix="1" applyFont="1" applyFill="1" applyBorder="1" applyAlignment="1">
      <alignment horizontal="center" vertical="center" wrapText="1"/>
    </xf>
    <xf numFmtId="0" fontId="18" fillId="10" borderId="1" xfId="0" quotePrefix="1" applyFont="1" applyFill="1" applyBorder="1" applyAlignment="1">
      <alignment horizontal="center" vertical="center"/>
    </xf>
    <xf numFmtId="0" fontId="19" fillId="10" borderId="1" xfId="0" quotePrefix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1" borderId="6" xfId="0" quotePrefix="1" applyFont="1" applyFill="1" applyBorder="1" applyAlignment="1">
      <alignment horizontal="left" vertical="center"/>
    </xf>
    <xf numFmtId="0" fontId="18" fillId="11" borderId="1" xfId="0" quotePrefix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6" xfId="0" quotePrefix="1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center" vertical="center"/>
    </xf>
    <xf numFmtId="0" fontId="18" fillId="12" borderId="1" xfId="0" quotePrefix="1" applyFont="1" applyFill="1" applyBorder="1" applyAlignment="1">
      <alignment horizontal="center" vertical="center"/>
    </xf>
    <xf numFmtId="0" fontId="19" fillId="12" borderId="1" xfId="0" quotePrefix="1" applyFont="1" applyFill="1" applyBorder="1" applyAlignment="1">
      <alignment horizontal="center" vertical="center"/>
    </xf>
    <xf numFmtId="0" fontId="18" fillId="13" borderId="8" xfId="0" quotePrefix="1" applyFont="1" applyFill="1" applyBorder="1" applyAlignment="1">
      <alignment horizontal="left" vertical="center"/>
    </xf>
    <xf numFmtId="0" fontId="18" fillId="13" borderId="9" xfId="0" quotePrefix="1" applyFont="1" applyFill="1" applyBorder="1" applyAlignment="1">
      <alignment horizontal="center" vertical="center"/>
    </xf>
    <xf numFmtId="0" fontId="18" fillId="13" borderId="9" xfId="0" applyFont="1" applyFill="1" applyBorder="1" applyAlignment="1">
      <alignment horizontal="center" vertical="center"/>
    </xf>
    <xf numFmtId="0" fontId="18" fillId="13" borderId="6" xfId="0" quotePrefix="1" applyFont="1" applyFill="1" applyBorder="1" applyAlignment="1">
      <alignment horizontal="left" vertical="center"/>
    </xf>
    <xf numFmtId="0" fontId="18" fillId="13" borderId="1" xfId="0" quotePrefix="1" applyFont="1" applyFill="1" applyBorder="1" applyAlignment="1">
      <alignment horizontal="center" vertical="center"/>
    </xf>
    <xf numFmtId="0" fontId="19" fillId="13" borderId="1" xfId="0" quotePrefix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verical.com/pd/lite-on-electronics-low-power-led--below-100ma--LTST-G683GEBW-2087763?utm_term=LTST-G683GEBW&amp;utm_source=digipart&amp;utm_medium=aggregator&amp;utm_campaign=digipart_2018&amp;utm_content=inv_listing" TargetMode="External"/><Relationship Id="rId21" Type="http://schemas.openxmlformats.org/officeDocument/2006/relationships/hyperlink" Target="https://lcsc.com/product-detail/Multilayer-Ceramic-Capacitors-MLCC-SMD-SMT_YAGEO-CC0603KRX7R0BB104_C113803.html" TargetMode="External"/><Relationship Id="rId42" Type="http://schemas.openxmlformats.org/officeDocument/2006/relationships/hyperlink" Target="https://lcsc.com/product-detail/Chip-Resistor-Surface-Mount_FOJAN-FRC0603F3011TS_C2933193.html" TargetMode="External"/><Relationship Id="rId47" Type="http://schemas.openxmlformats.org/officeDocument/2006/relationships/hyperlink" Target="https://lcsc.com/product-detail/Chip-Resistor-Surface-Mount_YAGEO-AC0603FR-0711K8L_C227561.html" TargetMode="External"/><Relationship Id="rId63" Type="http://schemas.openxmlformats.org/officeDocument/2006/relationships/hyperlink" Target="https://pt.aliexpress.com/item/1005003581889217.html?spm=a2g0o.productlist.0.0.1bf877e6nqOopc&amp;algo_pvid=ca59a7c4-3c49-47ff-8364-163da03c06f2&amp;algo_exp_id=ca59a7c4-3c49-47ff-8364-163da03c06f2-2&amp;pdp_ext_f=%7B%22sku_id%22%3A%2212000026369141443%22%7D&amp;pdp_pi=-" TargetMode="External"/><Relationship Id="rId68" Type="http://schemas.openxmlformats.org/officeDocument/2006/relationships/hyperlink" Target="https://lcsc.com/product-detail/USB-Connectors_SOFNG-MC-318_C183608.htmlLCSC" TargetMode="External"/><Relationship Id="rId16" Type="http://schemas.openxmlformats.org/officeDocument/2006/relationships/hyperlink" Target="https://lcsc.com/product-detail/Multilayer-Ceramic-Capacitors-MLCC-SMD-SMT_YAGEO-CC0603KRX7R9BB222_C107082.html" TargetMode="External"/><Relationship Id="rId11" Type="http://schemas.openxmlformats.org/officeDocument/2006/relationships/hyperlink" Target="https://lcsc.com/product-detail/Multilayer-Ceramic-Capacitors-MLCC-SMD-SMT_YAGEO-CC0603KRX7R9BB823_C107100.html" TargetMode="External"/><Relationship Id="rId24" Type="http://schemas.openxmlformats.org/officeDocument/2006/relationships/hyperlink" Target="https://lcsc.com/product-detail/Multilayer-Ceramic-Capacitors-MLCC-SMD-SMT_CCTC-TCC0603X7R223K101CT_C376821.html" TargetMode="External"/><Relationship Id="rId32" Type="http://schemas.openxmlformats.org/officeDocument/2006/relationships/hyperlink" Target="https://lcsc.com/product-detail/Power-Inductors_microgate-MPIT4018-150M-LF_C281265.html" TargetMode="External"/><Relationship Id="rId37" Type="http://schemas.openxmlformats.org/officeDocument/2006/relationships/hyperlink" Target="https://lcsc.com/product-detail/Chip-Resistor-Surface-Mount_YAGEO-RC0603FR-070RL_C100044.html" TargetMode="External"/><Relationship Id="rId40" Type="http://schemas.openxmlformats.org/officeDocument/2006/relationships/hyperlink" Target="https://lcsc.com/product-detail/Current-Sense-Resistors-Shunt-Resistors_prosemi-LMP25NF2P0R033_C2838960.html" TargetMode="External"/><Relationship Id="rId45" Type="http://schemas.openxmlformats.org/officeDocument/2006/relationships/hyperlink" Target="https://lcsc.com/product-detail/Chip-Resistor-Surface-Mount_YAGEO-RC0603FR-0712K4L_C137798.html" TargetMode="External"/><Relationship Id="rId53" Type="http://schemas.openxmlformats.org/officeDocument/2006/relationships/hyperlink" Target="https://lcsc.com/product-detail/Chip-Resistor-Surface-Mount_PANASONIC-ERJ3EKF9092V_C403390.html" TargetMode="External"/><Relationship Id="rId58" Type="http://schemas.openxmlformats.org/officeDocument/2006/relationships/hyperlink" Target="https://www.win-source.net/texas-instruments-lm5160adntr.html" TargetMode="External"/><Relationship Id="rId66" Type="http://schemas.openxmlformats.org/officeDocument/2006/relationships/hyperlink" Target="https://pt.aliexpress.com/item/1005003617046743.html?spm=a2g0o.productlist.0.0.3f9d511662DX1d&amp;algo_pvid=35657f20-8661-40eb-893a-e51de6809dfc&amp;algo_exp_id=35657f20-8661-40eb-893a-e51de6809dfc-0&amp;pdp_ext_f=%7B%22sku_id%22%3A%2212000026513966327%22%7D&amp;pdp_pi=-" TargetMode="External"/><Relationship Id="rId74" Type="http://schemas.openxmlformats.org/officeDocument/2006/relationships/hyperlink" Target="https://lcsc.com/product-detail/Aluminum-Electrolytic-Capacitors-SMD_Nichicon-UCD1H221MNL1GS_C116211.html" TargetMode="External"/><Relationship Id="rId79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-detail/Multilayer-Ceramic-Capacitors-MLCC-SMD-SMT_YAGEO-CC0402KRX7R8BB103_C327025.html" TargetMode="External"/><Relationship Id="rId61" Type="http://schemas.openxmlformats.org/officeDocument/2006/relationships/hyperlink" Target="https://pt.aliexpress.com/item/1005003700427498.html?spm=a2g0o.productlist.0.0.581c1ecdAFRarR&amp;algo_pvid=b5d43d1a-96ae-4206-9e95-86aa7404a4d6&amp;algo_exp_id=b5d43d1a-96ae-4206-9e95-86aa7404a4d6-12&amp;pdp_ext_f=%7B%22sku_id%22%3A%2212000026855423010%22%7D&amp;pdp_pi=" TargetMode="External"/><Relationship Id="rId19" Type="http://schemas.openxmlformats.org/officeDocument/2006/relationships/hyperlink" Target="https://lcsc.com/product-detail/Multilayer-Ceramic-Capacitors-MLCC-SMD-SMT_Murata-Electronics-GRM31CR61E476ME44L_C403725.html" TargetMode="External"/><Relationship Id="rId14" Type="http://schemas.openxmlformats.org/officeDocument/2006/relationships/hyperlink" Target="https://lcsc.com/product-detail/Tantalum-Capacitors_AVX-TAJE107M025RNJ_C7230.html" TargetMode="External"/><Relationship Id="rId22" Type="http://schemas.openxmlformats.org/officeDocument/2006/relationships/hyperlink" Target="https://lcsc.com/product-detail/Multilayer-Ceramic-Capacitors-MLCC-SMD-SMT_FH-Guangdong-Fenghua-Advanced-Tech-0805B224K101NT_C967578.html" TargetMode="External"/><Relationship Id="rId27" Type="http://schemas.openxmlformats.org/officeDocument/2006/relationships/hyperlink" Target="https://lcsc.com/product-detail/Light-Emitting-Diodes-LED_Everlight-Elec-16-213-GHC-YR1S1-3T_C74338.html" TargetMode="External"/><Relationship Id="rId30" Type="http://schemas.openxmlformats.org/officeDocument/2006/relationships/hyperlink" Target="https://lcsc.com/product-detail/Schottky-Barrier-Diodes-SBD_Yangzhou-Yangjie-Elec-Tech-SS24A_C211773.html" TargetMode="External"/><Relationship Id="rId35" Type="http://schemas.openxmlformats.org/officeDocument/2006/relationships/hyperlink" Target="https://lcsc.com/product-detail/Chip-Resistor-Surface-Mount_YAGEO-RC0603JR-075K1L_C14677.html" TargetMode="External"/><Relationship Id="rId43" Type="http://schemas.openxmlformats.org/officeDocument/2006/relationships/hyperlink" Target="https://lcsc.com/product-detail/Chip-Resistor-Surface-Mount_YAGEO-RC0603FR-0711KL_C137801.html" TargetMode="External"/><Relationship Id="rId48" Type="http://schemas.openxmlformats.org/officeDocument/2006/relationships/hyperlink" Target="https://lcsc.com/product-detail/Chip-Resistor-Surface-Mount_YAGEO-RC0603FR-07105KL_C141685.html" TargetMode="External"/><Relationship Id="rId56" Type="http://schemas.openxmlformats.org/officeDocument/2006/relationships/hyperlink" Target="https://lcsc.com/product-detail/Chip-Resistor-Surface-Mount_YAGEO-RC0603FR-0710KL_C98220.html" TargetMode="External"/><Relationship Id="rId64" Type="http://schemas.openxmlformats.org/officeDocument/2006/relationships/hyperlink" Target="https://pt.aliexpress.com/item/1005003466601594.html?spm=a2g0o.productlist.0.0.2dce509eaPpUUg&amp;algo_pvid=0e652b27-2baf-4f99-bed4-d4f796e645bc&amp;algo_exp_id=0e652b27-2baf-4f99-bed4-d4f796e645bc-2&amp;pdp_ext_f=%7B%22sku_id%22%3A%2212000025916355896%22%7D&amp;pdp_pi=-" TargetMode="External"/><Relationship Id="rId69" Type="http://schemas.openxmlformats.org/officeDocument/2006/relationships/hyperlink" Target="https://www.onlinecomponents.com/en/te-connectivity-amp-brand/55204252-10429521.html" TargetMode="External"/><Relationship Id="rId77" Type="http://schemas.openxmlformats.org/officeDocument/2006/relationships/hyperlink" Target="https://lcsc.com/product-detail/Chip-Resistor-Surface-Mount_YAGEO-RC0603JR-07100KL_C100048.html" TargetMode="External"/><Relationship Id="rId8" Type="http://schemas.openxmlformats.org/officeDocument/2006/relationships/hyperlink" Target="https://lcsc.com/product-detail/Multilayer-Ceramic-Capacitors-MLCC-SMD-SMT_Taiyo-Yuden-UMK107B7474KA-TR_C92847.html" TargetMode="External"/><Relationship Id="rId51" Type="http://schemas.openxmlformats.org/officeDocument/2006/relationships/hyperlink" Target="https://lcsc.com/product-detail/Chip-Resistor-Surface-Mount_PANASONIC-ERA3AEB5112V_C491138.html" TargetMode="External"/><Relationship Id="rId72" Type="http://schemas.openxmlformats.org/officeDocument/2006/relationships/hyperlink" Target="https://lcsc.com/product-detail/Pin-Headers_XKB-Connectivity-X6511WV-02H-C30D60_C706874.html" TargetMode="External"/><Relationship Id="rId3" Type="http://schemas.openxmlformats.org/officeDocument/2006/relationships/hyperlink" Target="https://lcsc.com/product-detail/Multilayer-Ceramic-Capacitors-MLCC-SMD-SMT_Samsung-Electro-Mechanics-CL05B104KB54PNC_C307331.html" TargetMode="External"/><Relationship Id="rId12" Type="http://schemas.openxmlformats.org/officeDocument/2006/relationships/hyperlink" Target="https://lcsc.com/product-detail/Multilayer-Ceramic-Capacitors-MLCC-SMD-SMT_Samsung-Electro-Mechanics-CL10A475KA8NQNC_C69335.html" TargetMode="External"/><Relationship Id="rId17" Type="http://schemas.openxmlformats.org/officeDocument/2006/relationships/hyperlink" Target="https://lcsc.com/product-detail/Multilayer-Ceramic-Capacitors-MLCC-SMD-SMT_Taiyo-Yuden-HMK325C7475KN-TE_C697607.html" TargetMode="External"/><Relationship Id="rId25" Type="http://schemas.openxmlformats.org/officeDocument/2006/relationships/hyperlink" Target="https://lcsc.com/product-detail/Multilayer-Ceramic-Capacitors-MLCC-SMD-SMT_Samsung-Electro-Mechanics-CL10B102KC8NNNC_C153291.html" TargetMode="External"/><Relationship Id="rId33" Type="http://schemas.openxmlformats.org/officeDocument/2006/relationships/hyperlink" Target="https://lcsc.com/product-detail/Ferrite-Beads_Murata-Electronics-BLM18EG101TN1D_C76893.html" TargetMode="External"/><Relationship Id="rId38" Type="http://schemas.openxmlformats.org/officeDocument/2006/relationships/hyperlink" Target="https://lcsc.com/product-detail/Chip-Resistor-Surface-Mount_YAGEO-RC0603FR-072KL_C105576.html" TargetMode="External"/><Relationship Id="rId46" Type="http://schemas.openxmlformats.org/officeDocument/2006/relationships/hyperlink" Target="https://lcsc.com/product-detail/Chip-Resistor-Surface-Mount_PANASONIC-ERJ3EKF1430V_C400649.html" TargetMode="External"/><Relationship Id="rId59" Type="http://schemas.openxmlformats.org/officeDocument/2006/relationships/hyperlink" Target="https://pt.aliexpress.com/item/1005003784579870.html?spm=a2g0o.productlist.0.0.3907136aDlabBR&amp;algo_pvid=46f53544-5ee0-40d5-8cce-a80abc9c0cc9&amp;algo_exp_id=46f53544-5ee0-40d5-8cce-a80abc9c0cc9-11&amp;pdp_ext_f=%7B%22sku_id%22%3A%2212000027158644448%22%7D&amp;pdp_pi=" TargetMode="External"/><Relationship Id="rId67" Type="http://schemas.openxmlformats.org/officeDocument/2006/relationships/hyperlink" Target="https://lcsc.com/product-detail/Buffers-Drivers_Texas-Instruments-SN74LVTH125PWR_C7042.html" TargetMode="External"/><Relationship Id="rId20" Type="http://schemas.openxmlformats.org/officeDocument/2006/relationships/hyperlink" Target="https://lcsc.com/product-detail/Multilayer-Ceramic-Capacitors-MLCC-SMD-SMT_YAGEO-CC0603KRX7R9BB203_C282065.html" TargetMode="External"/><Relationship Id="rId41" Type="http://schemas.openxmlformats.org/officeDocument/2006/relationships/hyperlink" Target="https://lcsc.com/product-detail/Chip-Resistor-Surface-Mount_YAGEO-RC0603FR-07150RL_C114608.html" TargetMode="External"/><Relationship Id="rId54" Type="http://schemas.openxmlformats.org/officeDocument/2006/relationships/hyperlink" Target="https://lcsc.com/product-detail/Chip-Resistor-Surface-Mount_UNI-ROYAL-Uniroyal-Elec-0603WAF1201T5E_C22765.html" TargetMode="External"/><Relationship Id="rId62" Type="http://schemas.openxmlformats.org/officeDocument/2006/relationships/hyperlink" Target="https://lcsc.com/product-detail/DC-DC-Converters_Texas-Instruments-MC34063ADR_C100023.html" TargetMode="External"/><Relationship Id="rId70" Type="http://schemas.openxmlformats.org/officeDocument/2006/relationships/hyperlink" Target="https://lcsc.com/product-detail/Wire-To-Board-Wire-To-Wire-Connector_JST-Sales-America-B4B-XH-A-LF-SN_C144395.html" TargetMode="External"/><Relationship Id="rId75" Type="http://schemas.openxmlformats.org/officeDocument/2006/relationships/hyperlink" Target="https://lcsc.com/product-detail/Aluminum-Electrolytic-Capacitors-SMD_ROQANG-RVT1H471M1213_C90272.html" TargetMode="External"/><Relationship Id="rId1" Type="http://schemas.openxmlformats.org/officeDocument/2006/relationships/hyperlink" Target="https://lcsc.com/product-detail/Aluminum-Electrolytic-Capacitors-SMD_Ymin-VKME1451J221MV_C487391.html" TargetMode="External"/><Relationship Id="rId6" Type="http://schemas.openxmlformats.org/officeDocument/2006/relationships/hyperlink" Target="https://lcsc.com/product-detail/Multilayer-Ceramic-Capacitors-MLCC-SMD-SMT_Taiyo-Yuden-HMK212BC7105KGHTE_C385977.html" TargetMode="External"/><Relationship Id="rId15" Type="http://schemas.openxmlformats.org/officeDocument/2006/relationships/hyperlink" Target="https://lcsc.com/product-detail/Multilayer-Ceramic-Capacitors-MLCC-SMD-SMT_YAGEO-CC0603KRX7R9BB471_C107092.html" TargetMode="External"/><Relationship Id="rId23" Type="http://schemas.openxmlformats.org/officeDocument/2006/relationships/hyperlink" Target="https://lcsc.com/product-detail/Multilayer-Ceramic-Capacitors-MLCC-SMD-SMT_Taiyo-Yuden-GMK212BJ224KGHT_C524973.html" TargetMode="External"/><Relationship Id="rId28" Type="http://schemas.openxmlformats.org/officeDocument/2006/relationships/hyperlink" Target="https://lcsc.com/product-detail/Schottky-Barrier-Diodes-SBD_TOSHIBA-CUS10S30-H3F_C146335.html" TargetMode="External"/><Relationship Id="rId36" Type="http://schemas.openxmlformats.org/officeDocument/2006/relationships/hyperlink" Target="https://lcsc.com/product-detail/Chip-Resistor-Surface-Mount_YAGEO-RC0603FR-073K9L_C114616.html" TargetMode="External"/><Relationship Id="rId49" Type="http://schemas.openxmlformats.org/officeDocument/2006/relationships/hyperlink" Target="https://lcsc.com/product-detail/Chip-Resistor-Surface-Mount_YAGEO-RT0603FRE07127KL_C706120.html" TargetMode="External"/><Relationship Id="rId57" Type="http://schemas.openxmlformats.org/officeDocument/2006/relationships/hyperlink" Target="https://pt.aliexpress.com/item/1005002824489337.html?gatewayAdapt=glo2bra&amp;spm=a2g0o.search0304.0.0.6a786872zrYtzx&amp;aem_p4p_detail=20210709080314396911621568870006263664" TargetMode="External"/><Relationship Id="rId10" Type="http://schemas.openxmlformats.org/officeDocument/2006/relationships/hyperlink" Target="https://lcsc.com/product-detail/Multilayer-Ceramic-Capacitors-MLCC-SMD-SMT_Samsung-Electro-Mechanics-CL10A106MA8NRNC_C2922482.html" TargetMode="External"/><Relationship Id="rId31" Type="http://schemas.openxmlformats.org/officeDocument/2006/relationships/hyperlink" Target="https://lcsc.com/product-detail/Power-Inductors_TDK-SLF12575T-221M1R3-PF_C93225.html" TargetMode="External"/><Relationship Id="rId44" Type="http://schemas.openxmlformats.org/officeDocument/2006/relationships/hyperlink" Target="https://lcsc.com/product-detail/Chip-Resistor-Surface-Mount_UNI-ROYAL-Uniroyal-Elec-0603WAJ022JT5E_C25226.html" TargetMode="External"/><Relationship Id="rId52" Type="http://schemas.openxmlformats.org/officeDocument/2006/relationships/hyperlink" Target="https://lcsc.com/product-detail/Chip-Resistor-Surface-Mount_YAGEO-RC0201FR-071ML_C295786.html" TargetMode="External"/><Relationship Id="rId60" Type="http://schemas.openxmlformats.org/officeDocument/2006/relationships/hyperlink" Target="https://pt.aliexpress.com/item/1005003624900465.html?spm=a2g0o.productlist.0.0.27ce2831Qb50i8&amp;algo_pvid=b6158dbf-bd41-466a-861c-edb7573bf985&amp;algo_exp_id=b6158dbf-bd41-466a-861c-edb7573bf985-1&amp;pdp_ext_f=%7B%22sku_id%22%3A%2212000026546853686%22%7D&amp;pdp_pi=-" TargetMode="External"/><Relationship Id="rId65" Type="http://schemas.openxmlformats.org/officeDocument/2006/relationships/hyperlink" Target="https://pt.aliexpress.com/item/1005004043847127.html?spm=a2g0o.productlist.0.0.69a64d3dyWnIM6&amp;algo_pvid=e422f8d9-675f-4947-ad05-2953a4079ac0&amp;algo_exp_id=e422f8d9-675f-4947-ad05-2953a4079ac0-0&amp;pdp_ext_f=%7B%22sku_id%22%3A%2212000027839993005%22%7D&amp;pdp_pi=-" TargetMode="External"/><Relationship Id="rId73" Type="http://schemas.openxmlformats.org/officeDocument/2006/relationships/hyperlink" Target="https://lcsc.com/product-detail/Multilayer-Ceramic-Capacitors-MLCC-SMD-SMT_Samsung-Electro-Mechanics-CL05B104KB54PNC_C307331.html" TargetMode="External"/><Relationship Id="rId78" Type="http://schemas.openxmlformats.org/officeDocument/2006/relationships/hyperlink" Target="https://lcsc.com/product-detail/Chip-Resistor-Surface-Mount_YAGEO-RC0603FR-07191KL_C273767.html" TargetMode="External"/><Relationship Id="rId4" Type="http://schemas.openxmlformats.org/officeDocument/2006/relationships/hyperlink" Target="https://lcsc.com/product-detail/Multilayer-Ceramic-Capacitors-MLCC-SMD-SMT_Murata-Electronics-GRM155R61H474KE11D_C437527.html" TargetMode="External"/><Relationship Id="rId9" Type="http://schemas.openxmlformats.org/officeDocument/2006/relationships/hyperlink" Target="https://lcsc.com/product-detail/Multilayer-Ceramic-Capacitors-MLCC-SMD-SMT_TDK-C1608X5R1V225KT000E_C342978.html" TargetMode="External"/><Relationship Id="rId13" Type="http://schemas.openxmlformats.org/officeDocument/2006/relationships/hyperlink" Target="https://lcsc.com/product-detail/Multilayer-Ceramic-Capacitors-MLCC-SMD-SMT_TDK-CGA2B3X7S2A102KT0Y0F_C445751.html" TargetMode="External"/><Relationship Id="rId18" Type="http://schemas.openxmlformats.org/officeDocument/2006/relationships/hyperlink" Target="https://lcsc.com/product-detail/Multilayer-Ceramic-Capacitors-MLCC-SMD-SMT_YAGEO-CC0603JRNPO9BN680_C62782.html" TargetMode="External"/><Relationship Id="rId39" Type="http://schemas.openxmlformats.org/officeDocument/2006/relationships/hyperlink" Target="https://lcsc.com/product-detail/Chip-Resistor-Surface-Mount_YAGEO-RC0603FR-0747RL_C114623.html" TargetMode="External"/><Relationship Id="rId34" Type="http://schemas.openxmlformats.org/officeDocument/2006/relationships/hyperlink" Target="https://pt.aliexpress.com/item/1005003584851269.html?spm=a2g0o.productlist.0.0.14ec31eekdiOrc&amp;algo_pvid=5dc907e3-04ac-4ed4-93cf-2cd61c628790&amp;algo_exp_id=5dc907e3-04ac-4ed4-93cf-2cd61c628790-2&amp;pdp_ext_f=%7B%22sku_id%22%3A%2212000026380464418%22%7D&amp;pdp_pi=-" TargetMode="External"/><Relationship Id="rId50" Type="http://schemas.openxmlformats.org/officeDocument/2006/relationships/hyperlink" Target="https://lcsc.com/product-detail/Chip-Resistor-Surface-Mount_YAGEO-RC0603FR-07240RL_C114613.html" TargetMode="External"/><Relationship Id="rId55" Type="http://schemas.openxmlformats.org/officeDocument/2006/relationships/hyperlink" Target="https://lcsc.com/product-detail/Chip-Resistor-Surface-Mount_RALEC-RTT03R330FTP_C103893.html" TargetMode="External"/><Relationship Id="rId76" Type="http://schemas.openxmlformats.org/officeDocument/2006/relationships/hyperlink" Target="https://lcsc.com/product-detail/Multilayer-Ceramic-Capacitors-MLCC-SMD-SMT_YAGEO-CC0402KRX7R8BB103_C327025.html" TargetMode="External"/><Relationship Id="rId7" Type="http://schemas.openxmlformats.org/officeDocument/2006/relationships/hyperlink" Target="https://lcsc.com/product-detail/Multilayer-Ceramic-Capacitors-MLCC-SMD-SMT_YAGEO-CC0603KRX5R8BB105_C14664.html" TargetMode="External"/><Relationship Id="rId71" Type="http://schemas.openxmlformats.org/officeDocument/2006/relationships/hyperlink" Target="https://www.onlinecomponents.com/en/sparkfun-electronics/prt10474-55170162.html?utm_source=digipart&amp;utm_medium=referral&amp;ref=digipartFeed&amp;utm_term=PRT-10474" TargetMode="External"/><Relationship Id="rId2" Type="http://schemas.openxmlformats.org/officeDocument/2006/relationships/hyperlink" Target="https://lcsc.com/product-detail/Multilayer-Ceramic-Capacitors-MLCC-SMD-SMT_Samsung-Electro-Mechanics-CL10B104KB8NNNC_C1591.html" TargetMode="External"/><Relationship Id="rId29" Type="http://schemas.openxmlformats.org/officeDocument/2006/relationships/hyperlink" Target="https://lcsc.com/product-detail/Schottky-Barrier-Diodes-SBD_Yangzhou-Yangjie-Elec-Tech-SSL110A_C69887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6"/>
  <sheetViews>
    <sheetView tabSelected="1" topLeftCell="A43" workbookViewId="0">
      <selection activeCell="F32" sqref="F32"/>
    </sheetView>
  </sheetViews>
  <sheetFormatPr defaultColWidth="9" defaultRowHeight="12.75"/>
  <cols>
    <col min="1" max="1" width="6.140625" style="1" customWidth="1"/>
    <col min="2" max="2" width="12.28515625" style="1" customWidth="1"/>
    <col min="3" max="3" width="44.28515625" style="1" customWidth="1"/>
    <col min="4" max="4" width="27.7109375" style="1" customWidth="1"/>
    <col min="5" max="5" width="18.5703125" style="1" customWidth="1"/>
    <col min="6" max="6" width="28.5703125" style="1" customWidth="1"/>
    <col min="7" max="7" width="28.28515625" style="1" customWidth="1"/>
    <col min="8" max="8" width="20.85546875" style="1" bestFit="1" customWidth="1"/>
    <col min="9" max="9" width="13.42578125" style="1" customWidth="1"/>
    <col min="10" max="10" width="6.28515625" style="1" customWidth="1"/>
    <col min="11" max="11" width="19.42578125" style="1" customWidth="1"/>
    <col min="12" max="19" width="18" style="1" customWidth="1"/>
    <col min="20" max="20" width="11.5703125" style="1" customWidth="1"/>
    <col min="21" max="21" width="12.140625" style="1" customWidth="1"/>
    <col min="22" max="22" width="18.7109375" style="1" customWidth="1"/>
    <col min="23" max="23" width="12.5703125" style="1" customWidth="1"/>
    <col min="24" max="24" width="19.7109375" style="1" customWidth="1"/>
    <col min="25" max="25" width="13.7109375" style="1" customWidth="1"/>
    <col min="26" max="26" width="20.7109375" style="1" customWidth="1"/>
    <col min="27" max="27" width="14.7109375" style="1" customWidth="1"/>
    <col min="28" max="28" width="50.7109375" style="1" customWidth="1"/>
    <col min="29" max="16384" width="9" style="1"/>
  </cols>
  <sheetData>
    <row r="1" spans="1:28" ht="16.5" thickBo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9"/>
    </row>
    <row r="2" spans="1:28" ht="15.75" thickBot="1">
      <c r="A2" s="104" t="s">
        <v>1</v>
      </c>
      <c r="B2" s="104" t="s">
        <v>2</v>
      </c>
      <c r="C2" s="104" t="s">
        <v>3</v>
      </c>
      <c r="D2" s="104" t="s">
        <v>4</v>
      </c>
      <c r="E2" s="104" t="s">
        <v>5</v>
      </c>
      <c r="F2" s="104" t="s">
        <v>6</v>
      </c>
      <c r="G2" s="104" t="s">
        <v>7</v>
      </c>
      <c r="H2" s="104" t="s">
        <v>8</v>
      </c>
      <c r="I2" s="104" t="s">
        <v>9</v>
      </c>
      <c r="J2" s="104" t="s">
        <v>10</v>
      </c>
      <c r="K2" s="104" t="s">
        <v>11</v>
      </c>
      <c r="L2" s="104" t="s">
        <v>12</v>
      </c>
      <c r="M2" s="104" t="s">
        <v>13</v>
      </c>
      <c r="N2" s="104" t="s">
        <v>14</v>
      </c>
      <c r="O2" s="104" t="s">
        <v>15</v>
      </c>
      <c r="P2" s="104" t="s">
        <v>16</v>
      </c>
      <c r="Q2" s="104" t="s">
        <v>17</v>
      </c>
      <c r="R2" s="104" t="s">
        <v>18</v>
      </c>
      <c r="S2" s="104" t="s">
        <v>19</v>
      </c>
      <c r="T2" s="104" t="s">
        <v>20</v>
      </c>
      <c r="U2" s="104" t="s">
        <v>21</v>
      </c>
      <c r="V2" s="105" t="s">
        <v>22</v>
      </c>
      <c r="W2" s="104" t="s">
        <v>23</v>
      </c>
      <c r="X2" s="105" t="s">
        <v>24</v>
      </c>
      <c r="Y2" s="104" t="s">
        <v>25</v>
      </c>
      <c r="Z2" s="105" t="s">
        <v>26</v>
      </c>
      <c r="AA2" s="104" t="s">
        <v>27</v>
      </c>
      <c r="AB2" s="106" t="s">
        <v>28</v>
      </c>
    </row>
    <row r="3" spans="1:28" ht="13.5" thickBot="1">
      <c r="A3" s="106">
        <v>1</v>
      </c>
      <c r="B3" s="112" t="s">
        <v>29</v>
      </c>
      <c r="C3" s="127" t="s">
        <v>30</v>
      </c>
      <c r="D3" s="128" t="s">
        <v>31</v>
      </c>
      <c r="E3" s="129" t="s">
        <v>32</v>
      </c>
      <c r="F3" s="129" t="s">
        <v>33</v>
      </c>
      <c r="G3" s="129" t="s">
        <v>34</v>
      </c>
      <c r="H3" s="129" t="s">
        <v>35</v>
      </c>
      <c r="I3" s="128" t="s">
        <v>36</v>
      </c>
      <c r="J3" s="129" t="s">
        <v>37</v>
      </c>
      <c r="K3" s="68">
        <v>1</v>
      </c>
      <c r="L3" s="68">
        <f t="shared" ref="L3:L64" si="0">K3*5</f>
        <v>5</v>
      </c>
      <c r="M3" s="68">
        <f t="shared" ref="M3:M64" si="1">K3*25</f>
        <v>25</v>
      </c>
      <c r="N3" s="68">
        <f t="shared" ref="N3:N64" si="2">K3*100</f>
        <v>100</v>
      </c>
      <c r="O3" s="68">
        <v>5</v>
      </c>
      <c r="P3" s="68">
        <v>10</v>
      </c>
      <c r="Q3" s="68">
        <v>30</v>
      </c>
      <c r="R3" s="68">
        <v>120</v>
      </c>
      <c r="S3" s="3" t="s">
        <v>38</v>
      </c>
      <c r="T3" s="17">
        <v>0.26090000000000002</v>
      </c>
      <c r="U3" s="5">
        <f>T3*O3</f>
        <v>1.3045</v>
      </c>
      <c r="V3" s="17">
        <v>0.22239999999999999</v>
      </c>
      <c r="W3" s="5">
        <f>V3*P3</f>
        <v>2.2239999999999998</v>
      </c>
      <c r="X3" s="17">
        <v>0.1946</v>
      </c>
      <c r="Y3" s="5">
        <f>X3*Q3</f>
        <v>5.8380000000000001</v>
      </c>
      <c r="Z3" s="17">
        <v>0.1716</v>
      </c>
      <c r="AA3" s="5">
        <f>Z3*R3</f>
        <v>20.591999999999999</v>
      </c>
      <c r="AB3" s="24"/>
    </row>
    <row r="4" spans="1:28" ht="13.5" thickBot="1">
      <c r="A4" s="106">
        <v>2</v>
      </c>
      <c r="B4" s="110"/>
      <c r="C4" s="130" t="s">
        <v>39</v>
      </c>
      <c r="D4" s="131" t="s">
        <v>40</v>
      </c>
      <c r="E4" s="131" t="s">
        <v>32</v>
      </c>
      <c r="F4" s="131" t="s">
        <v>41</v>
      </c>
      <c r="G4" s="131" t="s">
        <v>42</v>
      </c>
      <c r="H4" s="131" t="s">
        <v>35</v>
      </c>
      <c r="I4" s="132" t="s">
        <v>43</v>
      </c>
      <c r="J4" s="131" t="s">
        <v>37</v>
      </c>
      <c r="K4" s="72">
        <v>1</v>
      </c>
      <c r="L4" s="72">
        <f t="shared" si="0"/>
        <v>5</v>
      </c>
      <c r="M4" s="72">
        <f t="shared" si="1"/>
        <v>25</v>
      </c>
      <c r="N4" s="72">
        <f t="shared" si="2"/>
        <v>100</v>
      </c>
      <c r="O4" s="72">
        <v>5</v>
      </c>
      <c r="P4" s="72">
        <v>10</v>
      </c>
      <c r="Q4" s="72">
        <v>30</v>
      </c>
      <c r="R4" s="72">
        <v>120</v>
      </c>
      <c r="S4" s="7" t="s">
        <v>38</v>
      </c>
      <c r="T4" s="118">
        <v>0.41370000000000001</v>
      </c>
      <c r="U4" s="42">
        <f t="shared" ref="U4:U34" si="3">T4*O4</f>
        <v>2.0685000000000002</v>
      </c>
      <c r="V4" s="118">
        <v>0.35620000000000002</v>
      </c>
      <c r="W4" s="42">
        <f t="shared" ref="W4:W34" si="4">V4*P4</f>
        <v>3.5620000000000003</v>
      </c>
      <c r="X4" s="118">
        <v>0.31459999999999999</v>
      </c>
      <c r="Y4" s="42">
        <f t="shared" ref="Y4:Y34" si="5">X4*Q4</f>
        <v>9.4379999999999988</v>
      </c>
      <c r="Z4" s="118">
        <v>0.2802</v>
      </c>
      <c r="AA4" s="42">
        <f t="shared" ref="AA4:AA34" si="6">Z4*R4</f>
        <v>33.624000000000002</v>
      </c>
      <c r="AB4" s="50"/>
    </row>
    <row r="5" spans="1:28" ht="26.25" thickBot="1">
      <c r="A5" s="106">
        <v>3</v>
      </c>
      <c r="B5" s="110"/>
      <c r="C5" s="100" t="s">
        <v>44</v>
      </c>
      <c r="D5" s="101" t="s">
        <v>45</v>
      </c>
      <c r="E5" s="102" t="s">
        <v>46</v>
      </c>
      <c r="F5" s="102" t="s">
        <v>47</v>
      </c>
      <c r="G5" s="102" t="s">
        <v>48</v>
      </c>
      <c r="H5" s="102" t="s">
        <v>35</v>
      </c>
      <c r="I5" s="103" t="s">
        <v>49</v>
      </c>
      <c r="J5" s="102" t="s">
        <v>50</v>
      </c>
      <c r="K5" s="72">
        <v>9</v>
      </c>
      <c r="L5" s="72">
        <f t="shared" si="0"/>
        <v>45</v>
      </c>
      <c r="M5" s="72">
        <f t="shared" si="1"/>
        <v>225</v>
      </c>
      <c r="N5" s="72">
        <f t="shared" si="2"/>
        <v>900</v>
      </c>
      <c r="O5" s="72">
        <v>100</v>
      </c>
      <c r="P5" s="72">
        <v>100</v>
      </c>
      <c r="Q5" s="72">
        <v>300</v>
      </c>
      <c r="R5" s="72">
        <v>1000</v>
      </c>
      <c r="S5" s="7" t="s">
        <v>38</v>
      </c>
      <c r="T5" s="12">
        <v>2.8E-3</v>
      </c>
      <c r="U5" s="42">
        <f t="shared" si="3"/>
        <v>0.27999999999999997</v>
      </c>
      <c r="V5" s="12">
        <v>2.8E-3</v>
      </c>
      <c r="W5" s="42">
        <f t="shared" si="4"/>
        <v>0.27999999999999997</v>
      </c>
      <c r="X5" s="12">
        <v>2.8E-3</v>
      </c>
      <c r="Y5" s="42">
        <f t="shared" si="5"/>
        <v>0.84</v>
      </c>
      <c r="Z5" s="12">
        <v>2.3E-3</v>
      </c>
      <c r="AA5" s="42">
        <f t="shared" si="6"/>
        <v>2.2999999999999998</v>
      </c>
      <c r="AB5" s="50"/>
    </row>
    <row r="6" spans="1:28" ht="13.5" thickBot="1">
      <c r="A6" s="106">
        <v>4</v>
      </c>
      <c r="B6" s="110"/>
      <c r="C6" s="100" t="s">
        <v>51</v>
      </c>
      <c r="D6" s="102" t="s">
        <v>52</v>
      </c>
      <c r="E6" s="102" t="s">
        <v>53</v>
      </c>
      <c r="F6" s="102" t="s">
        <v>54</v>
      </c>
      <c r="G6" s="102" t="s">
        <v>48</v>
      </c>
      <c r="H6" s="102" t="s">
        <v>35</v>
      </c>
      <c r="I6" s="103" t="s">
        <v>55</v>
      </c>
      <c r="J6" s="102" t="s">
        <v>56</v>
      </c>
      <c r="K6" s="72">
        <v>2</v>
      </c>
      <c r="L6" s="72">
        <f t="shared" si="0"/>
        <v>10</v>
      </c>
      <c r="M6" s="72">
        <f t="shared" si="1"/>
        <v>50</v>
      </c>
      <c r="N6" s="72">
        <f t="shared" si="2"/>
        <v>200</v>
      </c>
      <c r="O6" s="72">
        <v>50</v>
      </c>
      <c r="P6" s="72">
        <v>50</v>
      </c>
      <c r="Q6" s="72">
        <v>100</v>
      </c>
      <c r="R6" s="72">
        <v>250</v>
      </c>
      <c r="S6" s="7" t="s">
        <v>38</v>
      </c>
      <c r="T6" s="12">
        <v>6.7999999999999996E-3</v>
      </c>
      <c r="U6" s="42">
        <f t="shared" si="3"/>
        <v>0.33999999999999997</v>
      </c>
      <c r="V6" s="12">
        <v>6.7999999999999996E-3</v>
      </c>
      <c r="W6" s="42">
        <f t="shared" si="4"/>
        <v>0.33999999999999997</v>
      </c>
      <c r="X6" s="12">
        <v>6.7999999999999996E-3</v>
      </c>
      <c r="Y6" s="42">
        <f t="shared" si="5"/>
        <v>0.67999999999999994</v>
      </c>
      <c r="Z6" s="12">
        <v>6.7999999999999996E-3</v>
      </c>
      <c r="AA6" s="42">
        <f t="shared" si="6"/>
        <v>1.7</v>
      </c>
      <c r="AB6" s="50"/>
    </row>
    <row r="7" spans="1:28" ht="13.5" thickBot="1">
      <c r="A7" s="106">
        <v>5</v>
      </c>
      <c r="B7" s="110"/>
      <c r="C7" s="69" t="s">
        <v>57</v>
      </c>
      <c r="D7" s="70" t="s">
        <v>58</v>
      </c>
      <c r="E7" s="70" t="s">
        <v>53</v>
      </c>
      <c r="F7" s="70" t="s">
        <v>59</v>
      </c>
      <c r="G7" s="70" t="s">
        <v>60</v>
      </c>
      <c r="H7" s="70" t="s">
        <v>35</v>
      </c>
      <c r="I7" s="119" t="s">
        <v>61</v>
      </c>
      <c r="J7" s="70" t="s">
        <v>62</v>
      </c>
      <c r="K7" s="72">
        <v>1</v>
      </c>
      <c r="L7" s="72">
        <f t="shared" si="0"/>
        <v>5</v>
      </c>
      <c r="M7" s="72">
        <f t="shared" si="1"/>
        <v>25</v>
      </c>
      <c r="N7" s="72">
        <f t="shared" si="2"/>
        <v>100</v>
      </c>
      <c r="O7" s="72">
        <v>100</v>
      </c>
      <c r="P7" s="72">
        <v>100</v>
      </c>
      <c r="Q7" s="72">
        <v>100</v>
      </c>
      <c r="R7" s="72">
        <v>200</v>
      </c>
      <c r="S7" s="7" t="s">
        <v>38</v>
      </c>
      <c r="T7" s="12">
        <v>1.2999999999999999E-3</v>
      </c>
      <c r="U7" s="42">
        <f t="shared" si="3"/>
        <v>0.13</v>
      </c>
      <c r="V7" s="12">
        <v>1.2999999999999999E-3</v>
      </c>
      <c r="W7" s="42">
        <f t="shared" si="4"/>
        <v>0.13</v>
      </c>
      <c r="X7" s="12">
        <v>1.2999999999999999E-3</v>
      </c>
      <c r="Y7" s="42">
        <f t="shared" si="5"/>
        <v>0.13</v>
      </c>
      <c r="Z7" s="12">
        <v>1.2999999999999999E-3</v>
      </c>
      <c r="AA7" s="42">
        <f t="shared" si="6"/>
        <v>0.26</v>
      </c>
      <c r="AB7" s="50"/>
    </row>
    <row r="8" spans="1:28" ht="13.5" thickBot="1">
      <c r="A8" s="106">
        <v>6</v>
      </c>
      <c r="B8" s="110"/>
      <c r="C8" s="133" t="s">
        <v>63</v>
      </c>
      <c r="D8" s="134" t="s">
        <v>64</v>
      </c>
      <c r="E8" s="134" t="s">
        <v>53</v>
      </c>
      <c r="F8" s="135" t="s">
        <v>65</v>
      </c>
      <c r="G8" s="134" t="s">
        <v>66</v>
      </c>
      <c r="H8" s="136" t="s">
        <v>67</v>
      </c>
      <c r="I8" s="136" t="s">
        <v>68</v>
      </c>
      <c r="J8" s="134" t="s">
        <v>69</v>
      </c>
      <c r="K8" s="72">
        <v>2</v>
      </c>
      <c r="L8" s="72">
        <f t="shared" si="0"/>
        <v>10</v>
      </c>
      <c r="M8" s="72">
        <f t="shared" si="1"/>
        <v>50</v>
      </c>
      <c r="N8" s="72">
        <f t="shared" si="2"/>
        <v>200</v>
      </c>
      <c r="O8" s="72">
        <v>20</v>
      </c>
      <c r="P8" s="72">
        <v>20</v>
      </c>
      <c r="Q8" s="72">
        <v>60</v>
      </c>
      <c r="R8" s="72">
        <v>220</v>
      </c>
      <c r="S8" s="9" t="s">
        <v>38</v>
      </c>
      <c r="T8" s="12">
        <v>3.6900000000000002E-2</v>
      </c>
      <c r="U8" s="42">
        <f t="shared" si="3"/>
        <v>0.73799999999999999</v>
      </c>
      <c r="V8" s="12">
        <v>3.6900000000000002E-2</v>
      </c>
      <c r="W8" s="42">
        <f t="shared" si="4"/>
        <v>0.73799999999999999</v>
      </c>
      <c r="X8" s="12">
        <v>3.6900000000000002E-2</v>
      </c>
      <c r="Y8" s="42">
        <f t="shared" si="5"/>
        <v>2.214</v>
      </c>
      <c r="Z8" s="12">
        <v>3.0599999999999999E-2</v>
      </c>
      <c r="AA8" s="42">
        <f t="shared" si="6"/>
        <v>6.7319999999999993</v>
      </c>
      <c r="AB8" s="50"/>
    </row>
    <row r="9" spans="1:28" ht="13.5" thickBot="1">
      <c r="A9" s="106">
        <v>7</v>
      </c>
      <c r="B9" s="110"/>
      <c r="C9" s="145" t="s">
        <v>70</v>
      </c>
      <c r="D9" s="146" t="s">
        <v>71</v>
      </c>
      <c r="E9" s="147" t="s">
        <v>72</v>
      </c>
      <c r="F9" s="148" t="s">
        <v>73</v>
      </c>
      <c r="G9" s="147" t="s">
        <v>74</v>
      </c>
      <c r="H9" s="146" t="s">
        <v>75</v>
      </c>
      <c r="I9" s="146" t="s">
        <v>76</v>
      </c>
      <c r="J9" s="147" t="s">
        <v>77</v>
      </c>
      <c r="K9" s="72">
        <v>1</v>
      </c>
      <c r="L9" s="72">
        <f t="shared" si="0"/>
        <v>5</v>
      </c>
      <c r="M9" s="72">
        <f t="shared" si="1"/>
        <v>25</v>
      </c>
      <c r="N9" s="72">
        <f t="shared" si="2"/>
        <v>100</v>
      </c>
      <c r="O9" s="72">
        <v>10</v>
      </c>
      <c r="P9" s="72">
        <v>10</v>
      </c>
      <c r="Q9" s="72">
        <v>30</v>
      </c>
      <c r="R9" s="72">
        <v>110</v>
      </c>
      <c r="S9" s="11" t="s">
        <v>38</v>
      </c>
      <c r="T9" s="12">
        <v>8.4000000000000005E-2</v>
      </c>
      <c r="U9" s="42">
        <f t="shared" si="3"/>
        <v>0.84000000000000008</v>
      </c>
      <c r="V9" s="12">
        <v>8.4000000000000005E-2</v>
      </c>
      <c r="W9" s="42">
        <f t="shared" si="4"/>
        <v>0.84000000000000008</v>
      </c>
      <c r="X9" s="12">
        <v>8.4000000000000005E-2</v>
      </c>
      <c r="Y9" s="42">
        <f t="shared" si="5"/>
        <v>2.52</v>
      </c>
      <c r="Z9" s="12">
        <v>7.0999999999999994E-2</v>
      </c>
      <c r="AA9" s="42">
        <f t="shared" si="6"/>
        <v>7.81</v>
      </c>
      <c r="AB9" s="50"/>
    </row>
    <row r="10" spans="1:28" ht="13.5" thickBot="1">
      <c r="A10" s="106">
        <v>8</v>
      </c>
      <c r="B10" s="110"/>
      <c r="C10" s="69" t="s">
        <v>78</v>
      </c>
      <c r="D10" s="76" t="s">
        <v>79</v>
      </c>
      <c r="E10" s="70" t="s">
        <v>32</v>
      </c>
      <c r="F10" s="97" t="s">
        <v>80</v>
      </c>
      <c r="G10" s="70" t="s">
        <v>81</v>
      </c>
      <c r="H10" s="119" t="s">
        <v>82</v>
      </c>
      <c r="I10" s="74" t="s">
        <v>83</v>
      </c>
      <c r="J10" s="70" t="s">
        <v>84</v>
      </c>
      <c r="K10" s="72">
        <v>1</v>
      </c>
      <c r="L10" s="72">
        <f t="shared" si="0"/>
        <v>5</v>
      </c>
      <c r="M10" s="72">
        <f t="shared" si="1"/>
        <v>25</v>
      </c>
      <c r="N10" s="72">
        <f t="shared" si="2"/>
        <v>100</v>
      </c>
      <c r="O10" s="72">
        <v>5</v>
      </c>
      <c r="P10" s="72">
        <v>7</v>
      </c>
      <c r="Q10" s="72">
        <v>30</v>
      </c>
      <c r="R10" s="72">
        <v>110</v>
      </c>
      <c r="S10" s="11" t="s">
        <v>38</v>
      </c>
      <c r="T10" s="120">
        <v>0.40260000000000001</v>
      </c>
      <c r="U10" s="42">
        <f t="shared" si="3"/>
        <v>2.0129999999999999</v>
      </c>
      <c r="V10" s="120">
        <v>0.40260000000000001</v>
      </c>
      <c r="W10" s="42">
        <f t="shared" si="4"/>
        <v>2.8182</v>
      </c>
      <c r="X10" s="120">
        <v>0.28439999999999999</v>
      </c>
      <c r="Y10" s="42">
        <f t="shared" si="5"/>
        <v>8.532</v>
      </c>
      <c r="Z10" s="120">
        <v>0.21920000000000001</v>
      </c>
      <c r="AA10" s="42">
        <f t="shared" si="6"/>
        <v>24.112000000000002</v>
      </c>
      <c r="AB10" s="26" t="s">
        <v>85</v>
      </c>
    </row>
    <row r="11" spans="1:28" ht="13.5" thickBot="1">
      <c r="A11" s="106">
        <v>9</v>
      </c>
      <c r="B11" s="110"/>
      <c r="C11" s="133" t="s">
        <v>86</v>
      </c>
      <c r="D11" s="134" t="s">
        <v>87</v>
      </c>
      <c r="E11" s="134" t="s">
        <v>88</v>
      </c>
      <c r="F11" s="134" t="s">
        <v>89</v>
      </c>
      <c r="G11" s="134" t="s">
        <v>66</v>
      </c>
      <c r="H11" s="134" t="s">
        <v>35</v>
      </c>
      <c r="I11" s="136" t="s">
        <v>90</v>
      </c>
      <c r="J11" s="134" t="s">
        <v>69</v>
      </c>
      <c r="K11" s="72">
        <v>1</v>
      </c>
      <c r="L11" s="72">
        <f t="shared" si="0"/>
        <v>5</v>
      </c>
      <c r="M11" s="72">
        <f t="shared" si="1"/>
        <v>25</v>
      </c>
      <c r="N11" s="72">
        <f t="shared" si="2"/>
        <v>100</v>
      </c>
      <c r="O11" s="72">
        <v>20</v>
      </c>
      <c r="P11" s="72">
        <v>20</v>
      </c>
      <c r="Q11" s="72">
        <v>40</v>
      </c>
      <c r="R11" s="72">
        <v>120</v>
      </c>
      <c r="S11" s="11" t="s">
        <v>38</v>
      </c>
      <c r="T11" s="12">
        <v>3.8600000000000002E-2</v>
      </c>
      <c r="U11" s="42">
        <f t="shared" si="3"/>
        <v>0.77200000000000002</v>
      </c>
      <c r="V11" s="12">
        <v>3.8600000000000002E-2</v>
      </c>
      <c r="W11" s="42">
        <f t="shared" si="4"/>
        <v>0.77200000000000002</v>
      </c>
      <c r="X11" s="12">
        <v>3.8600000000000002E-2</v>
      </c>
      <c r="Y11" s="42">
        <f t="shared" si="5"/>
        <v>1.544</v>
      </c>
      <c r="Z11" s="12">
        <v>3.8600000000000002E-2</v>
      </c>
      <c r="AA11" s="42">
        <f t="shared" si="6"/>
        <v>4.6320000000000006</v>
      </c>
      <c r="AB11" s="50"/>
    </row>
    <row r="12" spans="1:28" ht="13.5" thickBot="1">
      <c r="A12" s="106">
        <v>10</v>
      </c>
      <c r="B12" s="110"/>
      <c r="C12" s="145" t="s">
        <v>91</v>
      </c>
      <c r="D12" s="147" t="s">
        <v>92</v>
      </c>
      <c r="E12" s="147" t="s">
        <v>88</v>
      </c>
      <c r="F12" s="147" t="s">
        <v>93</v>
      </c>
      <c r="G12" s="147" t="s">
        <v>60</v>
      </c>
      <c r="H12" s="147" t="s">
        <v>35</v>
      </c>
      <c r="I12" s="146" t="s">
        <v>94</v>
      </c>
      <c r="J12" s="147" t="s">
        <v>77</v>
      </c>
      <c r="K12" s="72">
        <v>1</v>
      </c>
      <c r="L12" s="72">
        <f t="shared" si="0"/>
        <v>5</v>
      </c>
      <c r="M12" s="72">
        <f t="shared" si="1"/>
        <v>25</v>
      </c>
      <c r="N12" s="72">
        <f t="shared" si="2"/>
        <v>100</v>
      </c>
      <c r="O12" s="72">
        <v>50</v>
      </c>
      <c r="P12" s="72">
        <v>50</v>
      </c>
      <c r="Q12" s="72">
        <v>50</v>
      </c>
      <c r="R12" s="72">
        <v>150</v>
      </c>
      <c r="S12" s="11" t="s">
        <v>38</v>
      </c>
      <c r="T12" s="12">
        <v>7.3000000000000001E-3</v>
      </c>
      <c r="U12" s="42">
        <f t="shared" si="3"/>
        <v>0.36499999999999999</v>
      </c>
      <c r="V12" s="12">
        <v>7.3000000000000001E-3</v>
      </c>
      <c r="W12" s="42">
        <f t="shared" si="4"/>
        <v>0.36499999999999999</v>
      </c>
      <c r="X12" s="12">
        <v>7.3000000000000001E-3</v>
      </c>
      <c r="Y12" s="42">
        <f t="shared" si="5"/>
        <v>0.36499999999999999</v>
      </c>
      <c r="Z12" s="12">
        <v>7.3000000000000001E-3</v>
      </c>
      <c r="AA12" s="42">
        <f t="shared" si="6"/>
        <v>1.095</v>
      </c>
      <c r="AB12" s="50"/>
    </row>
    <row r="13" spans="1:28" ht="26.25" thickBot="1">
      <c r="A13" s="106">
        <v>11</v>
      </c>
      <c r="B13" s="110"/>
      <c r="C13" s="77" t="s">
        <v>95</v>
      </c>
      <c r="D13" s="73" t="s">
        <v>96</v>
      </c>
      <c r="E13" s="70" t="s">
        <v>88</v>
      </c>
      <c r="F13" s="97" t="s">
        <v>97</v>
      </c>
      <c r="G13" s="70" t="s">
        <v>98</v>
      </c>
      <c r="H13" s="74" t="s">
        <v>99</v>
      </c>
      <c r="I13" s="74" t="s">
        <v>100</v>
      </c>
      <c r="J13" s="70" t="s">
        <v>101</v>
      </c>
      <c r="K13" s="72">
        <v>9</v>
      </c>
      <c r="L13" s="72">
        <f t="shared" si="0"/>
        <v>45</v>
      </c>
      <c r="M13" s="72">
        <f t="shared" si="1"/>
        <v>225</v>
      </c>
      <c r="N13" s="72">
        <f t="shared" si="2"/>
        <v>900</v>
      </c>
      <c r="O13" s="72">
        <v>20</v>
      </c>
      <c r="P13" s="72">
        <v>50</v>
      </c>
      <c r="Q13" s="72">
        <v>230</v>
      </c>
      <c r="R13" s="72">
        <v>920</v>
      </c>
      <c r="S13" s="11" t="s">
        <v>38</v>
      </c>
      <c r="T13" s="12">
        <v>5.1799999999999999E-2</v>
      </c>
      <c r="U13" s="42">
        <f t="shared" si="3"/>
        <v>1.036</v>
      </c>
      <c r="V13" s="12">
        <v>5.1799999999999999E-2</v>
      </c>
      <c r="W13" s="42">
        <f t="shared" si="4"/>
        <v>2.59</v>
      </c>
      <c r="X13" s="12">
        <v>4.3499999999999997E-2</v>
      </c>
      <c r="Y13" s="42">
        <f t="shared" si="5"/>
        <v>10.004999999999999</v>
      </c>
      <c r="Z13" s="12">
        <v>3.7499999999999999E-2</v>
      </c>
      <c r="AA13" s="42">
        <f t="shared" si="6"/>
        <v>34.5</v>
      </c>
      <c r="AB13" s="50"/>
    </row>
    <row r="14" spans="1:28" ht="13.5" thickBot="1">
      <c r="A14" s="106">
        <v>12</v>
      </c>
      <c r="B14" s="110"/>
      <c r="C14" s="69" t="s">
        <v>102</v>
      </c>
      <c r="D14" s="70" t="s">
        <v>103</v>
      </c>
      <c r="E14" s="70" t="s">
        <v>88</v>
      </c>
      <c r="F14" s="70" t="s">
        <v>104</v>
      </c>
      <c r="G14" s="70" t="s">
        <v>48</v>
      </c>
      <c r="H14" s="70" t="s">
        <v>35</v>
      </c>
      <c r="I14" s="74" t="s">
        <v>105</v>
      </c>
      <c r="J14" s="70" t="s">
        <v>106</v>
      </c>
      <c r="K14" s="72">
        <v>4</v>
      </c>
      <c r="L14" s="72">
        <f t="shared" si="0"/>
        <v>20</v>
      </c>
      <c r="M14" s="72">
        <f t="shared" si="1"/>
        <v>100</v>
      </c>
      <c r="N14" s="72">
        <f t="shared" si="2"/>
        <v>400</v>
      </c>
      <c r="O14" s="72">
        <v>20</v>
      </c>
      <c r="P14" s="72">
        <v>40</v>
      </c>
      <c r="Q14" s="72">
        <v>120</v>
      </c>
      <c r="R14" s="72">
        <v>420</v>
      </c>
      <c r="S14" s="11" t="s">
        <v>38</v>
      </c>
      <c r="T14" s="12">
        <v>2.58E-2</v>
      </c>
      <c r="U14" s="42">
        <f t="shared" si="3"/>
        <v>0.51600000000000001</v>
      </c>
      <c r="V14" s="12">
        <v>2.58E-2</v>
      </c>
      <c r="W14" s="42">
        <f t="shared" si="4"/>
        <v>1.032</v>
      </c>
      <c r="X14" s="12">
        <v>2.58E-2</v>
      </c>
      <c r="Y14" s="42">
        <f t="shared" si="5"/>
        <v>3.0960000000000001</v>
      </c>
      <c r="Z14" s="12">
        <v>2.1700000000000001E-2</v>
      </c>
      <c r="AA14" s="42">
        <f t="shared" si="6"/>
        <v>9.1140000000000008</v>
      </c>
      <c r="AB14" s="50"/>
    </row>
    <row r="15" spans="1:28" ht="13.5" thickBot="1">
      <c r="A15" s="106">
        <v>13</v>
      </c>
      <c r="B15" s="110"/>
      <c r="C15" s="69" t="s">
        <v>107</v>
      </c>
      <c r="D15" s="70" t="s">
        <v>108</v>
      </c>
      <c r="E15" s="70" t="s">
        <v>88</v>
      </c>
      <c r="F15" s="70" t="s">
        <v>109</v>
      </c>
      <c r="G15" s="70" t="s">
        <v>60</v>
      </c>
      <c r="H15" s="70" t="s">
        <v>35</v>
      </c>
      <c r="I15" s="74" t="s">
        <v>110</v>
      </c>
      <c r="J15" s="70" t="s">
        <v>111</v>
      </c>
      <c r="K15" s="72">
        <v>1</v>
      </c>
      <c r="L15" s="72">
        <f t="shared" si="0"/>
        <v>5</v>
      </c>
      <c r="M15" s="72">
        <f t="shared" si="1"/>
        <v>25</v>
      </c>
      <c r="N15" s="72">
        <f t="shared" si="2"/>
        <v>100</v>
      </c>
      <c r="O15" s="72">
        <v>50</v>
      </c>
      <c r="P15" s="72">
        <v>50</v>
      </c>
      <c r="Q15" s="72">
        <v>50</v>
      </c>
      <c r="R15" s="72">
        <v>150</v>
      </c>
      <c r="S15" s="11" t="s">
        <v>38</v>
      </c>
      <c r="T15" s="12">
        <v>9.4000000000000004E-3</v>
      </c>
      <c r="U15" s="42">
        <f t="shared" si="3"/>
        <v>0.47000000000000003</v>
      </c>
      <c r="V15" s="12">
        <v>9.4000000000000004E-3</v>
      </c>
      <c r="W15" s="42">
        <f t="shared" si="4"/>
        <v>0.47000000000000003</v>
      </c>
      <c r="X15" s="12">
        <v>9.4000000000000004E-3</v>
      </c>
      <c r="Y15" s="42">
        <f t="shared" si="5"/>
        <v>0.47000000000000003</v>
      </c>
      <c r="Z15" s="12">
        <v>9.4000000000000004E-3</v>
      </c>
      <c r="AA15" s="42">
        <f t="shared" si="6"/>
        <v>1.4100000000000001</v>
      </c>
      <c r="AB15" s="50"/>
    </row>
    <row r="16" spans="1:28" ht="13.5" thickBot="1">
      <c r="A16" s="106">
        <v>14</v>
      </c>
      <c r="B16" s="110"/>
      <c r="C16" s="142" t="s">
        <v>112</v>
      </c>
      <c r="D16" s="143" t="s">
        <v>113</v>
      </c>
      <c r="E16" s="143" t="s">
        <v>46</v>
      </c>
      <c r="F16" s="143" t="s">
        <v>114</v>
      </c>
      <c r="G16" s="143" t="s">
        <v>48</v>
      </c>
      <c r="H16" s="143" t="s">
        <v>35</v>
      </c>
      <c r="I16" s="144" t="s">
        <v>115</v>
      </c>
      <c r="J16" s="143" t="s">
        <v>116</v>
      </c>
      <c r="K16" s="72">
        <v>3</v>
      </c>
      <c r="L16" s="72">
        <f t="shared" si="0"/>
        <v>15</v>
      </c>
      <c r="M16" s="72">
        <f t="shared" si="1"/>
        <v>75</v>
      </c>
      <c r="N16" s="72">
        <f t="shared" si="2"/>
        <v>300</v>
      </c>
      <c r="O16" s="72">
        <v>20</v>
      </c>
      <c r="P16" s="72">
        <v>20</v>
      </c>
      <c r="Q16" s="72">
        <v>80</v>
      </c>
      <c r="R16" s="72">
        <v>320</v>
      </c>
      <c r="S16" s="11" t="s">
        <v>38</v>
      </c>
      <c r="T16" s="12">
        <v>2.0299999999999999E-2</v>
      </c>
      <c r="U16" s="42">
        <f t="shared" si="3"/>
        <v>0.40599999999999997</v>
      </c>
      <c r="V16" s="12">
        <v>2.0299999999999999E-2</v>
      </c>
      <c r="W16" s="42">
        <f t="shared" si="4"/>
        <v>0.40599999999999997</v>
      </c>
      <c r="X16" s="12">
        <v>2.0299999999999999E-2</v>
      </c>
      <c r="Y16" s="42">
        <f t="shared" si="5"/>
        <v>1.6239999999999999</v>
      </c>
      <c r="Z16" s="12">
        <v>1.7399999999999999E-2</v>
      </c>
      <c r="AA16" s="42">
        <f t="shared" si="6"/>
        <v>5.5679999999999996</v>
      </c>
      <c r="AB16" s="50"/>
    </row>
    <row r="17" spans="1:28" ht="13.5" thickBot="1">
      <c r="A17" s="106">
        <v>15</v>
      </c>
      <c r="B17" s="110"/>
      <c r="C17" s="152" t="s">
        <v>117</v>
      </c>
      <c r="D17" s="153" t="s">
        <v>118</v>
      </c>
      <c r="E17" s="153" t="s">
        <v>53</v>
      </c>
      <c r="F17" s="154" t="s">
        <v>119</v>
      </c>
      <c r="G17" s="153" t="s">
        <v>120</v>
      </c>
      <c r="H17" s="155" t="s">
        <v>121</v>
      </c>
      <c r="I17" s="156" t="s">
        <v>122</v>
      </c>
      <c r="J17" s="153" t="s">
        <v>123</v>
      </c>
      <c r="K17" s="72">
        <v>1</v>
      </c>
      <c r="L17" s="72">
        <f t="shared" si="0"/>
        <v>5</v>
      </c>
      <c r="M17" s="72">
        <f t="shared" si="1"/>
        <v>25</v>
      </c>
      <c r="N17" s="72">
        <f t="shared" si="2"/>
        <v>100</v>
      </c>
      <c r="O17" s="72">
        <v>20</v>
      </c>
      <c r="P17" s="72">
        <v>20</v>
      </c>
      <c r="Q17" s="72">
        <v>40</v>
      </c>
      <c r="R17" s="72">
        <v>120</v>
      </c>
      <c r="S17" s="11" t="s">
        <v>38</v>
      </c>
      <c r="T17" s="12">
        <v>3.5099999999999999E-2</v>
      </c>
      <c r="U17" s="42">
        <f t="shared" si="3"/>
        <v>0.70199999999999996</v>
      </c>
      <c r="V17" s="12">
        <v>3.5099999999999999E-2</v>
      </c>
      <c r="W17" s="42">
        <f t="shared" si="4"/>
        <v>0.70199999999999996</v>
      </c>
      <c r="X17" s="12">
        <v>3.5099999999999999E-2</v>
      </c>
      <c r="Y17" s="42">
        <f t="shared" si="5"/>
        <v>1.4039999999999999</v>
      </c>
      <c r="Z17" s="12">
        <v>3.5099999999999999E-2</v>
      </c>
      <c r="AA17" s="42">
        <f t="shared" si="6"/>
        <v>4.2119999999999997</v>
      </c>
      <c r="AB17" s="50"/>
    </row>
    <row r="18" spans="1:28" ht="13.5" thickBot="1">
      <c r="A18" s="106">
        <v>16</v>
      </c>
      <c r="B18" s="110"/>
      <c r="C18" s="69" t="s">
        <v>124</v>
      </c>
      <c r="D18" s="70" t="s">
        <v>125</v>
      </c>
      <c r="E18" s="70" t="s">
        <v>126</v>
      </c>
      <c r="F18" s="70" t="s">
        <v>127</v>
      </c>
      <c r="G18" s="70" t="s">
        <v>128</v>
      </c>
      <c r="H18" s="70" t="s">
        <v>35</v>
      </c>
      <c r="I18" s="74" t="s">
        <v>129</v>
      </c>
      <c r="J18" s="70" t="s">
        <v>130</v>
      </c>
      <c r="K18" s="72">
        <v>1</v>
      </c>
      <c r="L18" s="72">
        <f t="shared" si="0"/>
        <v>5</v>
      </c>
      <c r="M18" s="72">
        <f t="shared" si="1"/>
        <v>25</v>
      </c>
      <c r="N18" s="72">
        <f t="shared" si="2"/>
        <v>100</v>
      </c>
      <c r="O18" s="72">
        <v>5</v>
      </c>
      <c r="P18" s="72">
        <v>10</v>
      </c>
      <c r="Q18" s="72">
        <v>30</v>
      </c>
      <c r="R18" s="72">
        <v>105</v>
      </c>
      <c r="S18" s="11" t="s">
        <v>38</v>
      </c>
      <c r="T18" s="12">
        <v>1.7114</v>
      </c>
      <c r="U18" s="42">
        <f t="shared" si="3"/>
        <v>8.5570000000000004</v>
      </c>
      <c r="V18" s="12">
        <v>1.7114</v>
      </c>
      <c r="W18" s="42">
        <f t="shared" si="4"/>
        <v>17.114000000000001</v>
      </c>
      <c r="X18" s="12">
        <v>1.4444999999999999</v>
      </c>
      <c r="Y18" s="42">
        <f t="shared" si="5"/>
        <v>43.334999999999994</v>
      </c>
      <c r="Z18" s="12">
        <v>0.99370000000000003</v>
      </c>
      <c r="AA18" s="42">
        <f t="shared" si="6"/>
        <v>104.3385</v>
      </c>
      <c r="AB18" s="50"/>
    </row>
    <row r="19" spans="1:28" ht="13.5" thickBot="1">
      <c r="A19" s="106">
        <v>17</v>
      </c>
      <c r="B19" s="110"/>
      <c r="C19" s="69" t="s">
        <v>131</v>
      </c>
      <c r="D19" s="70" t="s">
        <v>132</v>
      </c>
      <c r="E19" s="70" t="s">
        <v>88</v>
      </c>
      <c r="F19" s="70" t="s">
        <v>133</v>
      </c>
      <c r="G19" s="70" t="s">
        <v>60</v>
      </c>
      <c r="H19" s="70" t="s">
        <v>35</v>
      </c>
      <c r="I19" s="74" t="s">
        <v>134</v>
      </c>
      <c r="J19" s="70" t="s">
        <v>135</v>
      </c>
      <c r="K19" s="72">
        <v>1</v>
      </c>
      <c r="L19" s="72">
        <f t="shared" si="0"/>
        <v>5</v>
      </c>
      <c r="M19" s="72">
        <f t="shared" si="1"/>
        <v>25</v>
      </c>
      <c r="N19" s="72">
        <f t="shared" si="2"/>
        <v>100</v>
      </c>
      <c r="O19" s="72">
        <v>100</v>
      </c>
      <c r="P19" s="72">
        <v>100</v>
      </c>
      <c r="Q19" s="72">
        <v>100</v>
      </c>
      <c r="R19" s="72">
        <v>200</v>
      </c>
      <c r="S19" s="11" t="s">
        <v>38</v>
      </c>
      <c r="T19" s="12">
        <v>3.2000000000000002E-3</v>
      </c>
      <c r="U19" s="42">
        <f t="shared" si="3"/>
        <v>0.32</v>
      </c>
      <c r="V19" s="12">
        <v>3.2000000000000002E-3</v>
      </c>
      <c r="W19" s="42">
        <f t="shared" si="4"/>
        <v>0.32</v>
      </c>
      <c r="X19" s="12">
        <v>3.2000000000000002E-3</v>
      </c>
      <c r="Y19" s="42">
        <f t="shared" si="5"/>
        <v>0.32</v>
      </c>
      <c r="Z19" s="12">
        <v>3.2000000000000002E-3</v>
      </c>
      <c r="AA19" s="42">
        <f t="shared" si="6"/>
        <v>0.64</v>
      </c>
      <c r="AB19" s="50"/>
    </row>
    <row r="20" spans="1:28" ht="13.5" thickBot="1">
      <c r="A20" s="106">
        <v>18</v>
      </c>
      <c r="B20" s="110"/>
      <c r="C20" s="69" t="s">
        <v>136</v>
      </c>
      <c r="D20" s="70" t="s">
        <v>137</v>
      </c>
      <c r="E20" s="70" t="s">
        <v>88</v>
      </c>
      <c r="F20" s="70" t="s">
        <v>138</v>
      </c>
      <c r="G20" s="70" t="s">
        <v>60</v>
      </c>
      <c r="H20" s="70" t="s">
        <v>35</v>
      </c>
      <c r="I20" s="74" t="s">
        <v>139</v>
      </c>
      <c r="J20" s="70" t="s">
        <v>140</v>
      </c>
      <c r="K20" s="72">
        <v>1</v>
      </c>
      <c r="L20" s="72">
        <f t="shared" si="0"/>
        <v>5</v>
      </c>
      <c r="M20" s="72">
        <f t="shared" si="1"/>
        <v>25</v>
      </c>
      <c r="N20" s="72">
        <f t="shared" si="2"/>
        <v>100</v>
      </c>
      <c r="O20" s="72">
        <v>100</v>
      </c>
      <c r="P20" s="72">
        <v>100</v>
      </c>
      <c r="Q20" s="72">
        <v>100</v>
      </c>
      <c r="R20" s="72">
        <v>200</v>
      </c>
      <c r="S20" s="11" t="s">
        <v>38</v>
      </c>
      <c r="T20" s="12">
        <v>3.0999999999999999E-3</v>
      </c>
      <c r="U20" s="42">
        <f t="shared" si="3"/>
        <v>0.31</v>
      </c>
      <c r="V20" s="12">
        <v>3.0999999999999999E-3</v>
      </c>
      <c r="W20" s="42">
        <f t="shared" si="4"/>
        <v>0.31</v>
      </c>
      <c r="X20" s="12">
        <v>3.0999999999999999E-3</v>
      </c>
      <c r="Y20" s="42">
        <f t="shared" si="5"/>
        <v>0.31</v>
      </c>
      <c r="Z20" s="12">
        <v>3.0999999999999999E-3</v>
      </c>
      <c r="AA20" s="42">
        <f t="shared" si="6"/>
        <v>0.62</v>
      </c>
      <c r="AB20" s="50"/>
    </row>
    <row r="21" spans="1:28" ht="13.5" thickBot="1">
      <c r="A21" s="106">
        <v>19</v>
      </c>
      <c r="B21" s="110"/>
      <c r="C21" s="142" t="s">
        <v>141</v>
      </c>
      <c r="D21" s="143" t="s">
        <v>142</v>
      </c>
      <c r="E21" s="143" t="s">
        <v>143</v>
      </c>
      <c r="F21" s="143" t="s">
        <v>144</v>
      </c>
      <c r="G21" s="143" t="s">
        <v>66</v>
      </c>
      <c r="H21" s="143" t="s">
        <v>35</v>
      </c>
      <c r="I21" s="144" t="s">
        <v>145</v>
      </c>
      <c r="J21" s="143" t="s">
        <v>146</v>
      </c>
      <c r="K21" s="72">
        <v>1</v>
      </c>
      <c r="L21" s="72">
        <f t="shared" si="0"/>
        <v>5</v>
      </c>
      <c r="M21" s="72">
        <f t="shared" si="1"/>
        <v>25</v>
      </c>
      <c r="N21" s="72">
        <f t="shared" si="2"/>
        <v>100</v>
      </c>
      <c r="O21" s="72">
        <v>5</v>
      </c>
      <c r="P21" s="72">
        <v>10</v>
      </c>
      <c r="Q21" s="72">
        <v>30</v>
      </c>
      <c r="R21" s="72">
        <v>105</v>
      </c>
      <c r="S21" s="11" t="s">
        <v>38</v>
      </c>
      <c r="T21" s="12">
        <v>0.1827</v>
      </c>
      <c r="U21" s="42">
        <f t="shared" si="3"/>
        <v>0.91349999999999998</v>
      </c>
      <c r="V21" s="12">
        <v>0.1827</v>
      </c>
      <c r="W21" s="42">
        <f t="shared" si="4"/>
        <v>1.827</v>
      </c>
      <c r="X21" s="12">
        <v>0.1827</v>
      </c>
      <c r="Y21" s="42">
        <f t="shared" si="5"/>
        <v>5.4809999999999999</v>
      </c>
      <c r="Z21" s="12">
        <v>0.1827</v>
      </c>
      <c r="AA21" s="42">
        <f t="shared" si="6"/>
        <v>19.183499999999999</v>
      </c>
      <c r="AB21" s="50"/>
    </row>
    <row r="22" spans="1:28" ht="13.5" thickBot="1">
      <c r="A22" s="106">
        <v>20</v>
      </c>
      <c r="B22" s="110"/>
      <c r="C22" s="69" t="s">
        <v>477</v>
      </c>
      <c r="D22" s="70" t="s">
        <v>147</v>
      </c>
      <c r="E22" s="70" t="s">
        <v>88</v>
      </c>
      <c r="F22" s="70" t="s">
        <v>148</v>
      </c>
      <c r="G22" s="70" t="s">
        <v>60</v>
      </c>
      <c r="H22" s="70" t="s">
        <v>35</v>
      </c>
      <c r="I22" s="74" t="s">
        <v>149</v>
      </c>
      <c r="J22" s="70" t="s">
        <v>150</v>
      </c>
      <c r="K22" s="72">
        <v>1</v>
      </c>
      <c r="L22" s="72">
        <f t="shared" si="0"/>
        <v>5</v>
      </c>
      <c r="M22" s="72">
        <f t="shared" si="1"/>
        <v>25</v>
      </c>
      <c r="N22" s="72">
        <f t="shared" si="2"/>
        <v>100</v>
      </c>
      <c r="O22" s="72">
        <v>100</v>
      </c>
      <c r="P22" s="72">
        <v>100</v>
      </c>
      <c r="Q22" s="72">
        <v>100</v>
      </c>
      <c r="R22" s="72">
        <v>200</v>
      </c>
      <c r="S22" s="11" t="s">
        <v>38</v>
      </c>
      <c r="T22" s="12">
        <v>3.0999999999999999E-3</v>
      </c>
      <c r="U22" s="42">
        <f t="shared" si="3"/>
        <v>0.31</v>
      </c>
      <c r="V22" s="12">
        <v>3.0999999999999999E-3</v>
      </c>
      <c r="W22" s="42">
        <f t="shared" si="4"/>
        <v>0.31</v>
      </c>
      <c r="X22" s="12">
        <v>3.0999999999999999E-3</v>
      </c>
      <c r="Y22" s="42">
        <f t="shared" si="5"/>
        <v>0.31</v>
      </c>
      <c r="Z22" s="12">
        <v>3.0999999999999999E-3</v>
      </c>
      <c r="AA22" s="42">
        <f t="shared" si="6"/>
        <v>0.62</v>
      </c>
      <c r="AB22" s="50"/>
    </row>
    <row r="23" spans="1:28" ht="13.5" thickBot="1">
      <c r="A23" s="106">
        <v>21</v>
      </c>
      <c r="B23" s="110"/>
      <c r="C23" s="69" t="s">
        <v>151</v>
      </c>
      <c r="D23" s="70" t="s">
        <v>152</v>
      </c>
      <c r="E23" s="70" t="s">
        <v>153</v>
      </c>
      <c r="F23" s="70" t="s">
        <v>154</v>
      </c>
      <c r="G23" s="70" t="s">
        <v>98</v>
      </c>
      <c r="H23" s="70" t="s">
        <v>35</v>
      </c>
      <c r="I23" s="74" t="s">
        <v>155</v>
      </c>
      <c r="J23" s="70" t="s">
        <v>156</v>
      </c>
      <c r="K23" s="72">
        <v>3</v>
      </c>
      <c r="L23" s="72">
        <f t="shared" si="0"/>
        <v>15</v>
      </c>
      <c r="M23" s="72">
        <f t="shared" si="1"/>
        <v>75</v>
      </c>
      <c r="N23" s="72">
        <f t="shared" si="2"/>
        <v>300</v>
      </c>
      <c r="O23" s="72">
        <v>5</v>
      </c>
      <c r="P23" s="72">
        <v>20</v>
      </c>
      <c r="Q23" s="72">
        <v>80</v>
      </c>
      <c r="R23" s="72">
        <v>310</v>
      </c>
      <c r="S23" s="11" t="s">
        <v>38</v>
      </c>
      <c r="T23" s="12">
        <v>0.48149999999999998</v>
      </c>
      <c r="U23" s="42">
        <f t="shared" si="3"/>
        <v>2.4074999999999998</v>
      </c>
      <c r="V23" s="12">
        <v>0.48149999999999998</v>
      </c>
      <c r="W23" s="42">
        <f t="shared" si="4"/>
        <v>9.629999999999999</v>
      </c>
      <c r="X23" s="12">
        <v>0.33910000000000001</v>
      </c>
      <c r="Y23" s="42">
        <f t="shared" si="5"/>
        <v>27.128</v>
      </c>
      <c r="Z23" s="12">
        <v>0.27050000000000002</v>
      </c>
      <c r="AA23" s="42">
        <f t="shared" si="6"/>
        <v>83.855000000000004</v>
      </c>
      <c r="AB23" s="50"/>
    </row>
    <row r="24" spans="1:28" ht="13.5" thickBot="1">
      <c r="A24" s="106">
        <v>22</v>
      </c>
      <c r="B24" s="110"/>
      <c r="C24" s="69" t="s">
        <v>157</v>
      </c>
      <c r="D24" s="70" t="s">
        <v>158</v>
      </c>
      <c r="E24" s="70" t="s">
        <v>88</v>
      </c>
      <c r="F24" s="70" t="s">
        <v>159</v>
      </c>
      <c r="G24" s="70" t="s">
        <v>60</v>
      </c>
      <c r="H24" s="70" t="s">
        <v>35</v>
      </c>
      <c r="I24" s="74" t="s">
        <v>160</v>
      </c>
      <c r="J24" s="70" t="s">
        <v>161</v>
      </c>
      <c r="K24" s="72">
        <v>1</v>
      </c>
      <c r="L24" s="72">
        <f t="shared" si="0"/>
        <v>5</v>
      </c>
      <c r="M24" s="72">
        <f t="shared" si="1"/>
        <v>25</v>
      </c>
      <c r="N24" s="72">
        <f t="shared" si="2"/>
        <v>100</v>
      </c>
      <c r="O24" s="72">
        <v>50</v>
      </c>
      <c r="P24" s="72">
        <v>50</v>
      </c>
      <c r="Q24" s="72">
        <v>50</v>
      </c>
      <c r="R24" s="72">
        <v>150</v>
      </c>
      <c r="S24" s="11" t="s">
        <v>38</v>
      </c>
      <c r="T24" s="12">
        <v>8.2000000000000007E-3</v>
      </c>
      <c r="U24" s="42">
        <f t="shared" si="3"/>
        <v>0.41000000000000003</v>
      </c>
      <c r="V24" s="12">
        <v>8.2000000000000007E-3</v>
      </c>
      <c r="W24" s="42">
        <f t="shared" si="4"/>
        <v>0.41000000000000003</v>
      </c>
      <c r="X24" s="12">
        <v>8.2000000000000007E-3</v>
      </c>
      <c r="Y24" s="42">
        <f t="shared" si="5"/>
        <v>0.41000000000000003</v>
      </c>
      <c r="Z24" s="12">
        <v>8.2000000000000007E-3</v>
      </c>
      <c r="AA24" s="42">
        <f t="shared" si="6"/>
        <v>1.2300000000000002</v>
      </c>
      <c r="AB24" s="50"/>
    </row>
    <row r="25" spans="1:28" ht="13.5" thickBot="1">
      <c r="A25" s="106">
        <v>23</v>
      </c>
      <c r="B25" s="110"/>
      <c r="C25" s="100" t="s">
        <v>162</v>
      </c>
      <c r="D25" s="102" t="s">
        <v>163</v>
      </c>
      <c r="E25" s="102" t="s">
        <v>88</v>
      </c>
      <c r="F25" s="102" t="s">
        <v>164</v>
      </c>
      <c r="G25" s="102" t="s">
        <v>60</v>
      </c>
      <c r="H25" s="102" t="s">
        <v>35</v>
      </c>
      <c r="I25" s="103" t="s">
        <v>165</v>
      </c>
      <c r="J25" s="102" t="s">
        <v>50</v>
      </c>
      <c r="K25" s="72">
        <v>3</v>
      </c>
      <c r="L25" s="72">
        <f t="shared" si="0"/>
        <v>15</v>
      </c>
      <c r="M25" s="72">
        <f t="shared" si="1"/>
        <v>75</v>
      </c>
      <c r="N25" s="72">
        <f t="shared" si="2"/>
        <v>300</v>
      </c>
      <c r="O25" s="72">
        <v>50</v>
      </c>
      <c r="P25" s="72">
        <v>50</v>
      </c>
      <c r="Q25" s="72">
        <v>100</v>
      </c>
      <c r="R25" s="72">
        <v>350</v>
      </c>
      <c r="S25" s="11" t="s">
        <v>38</v>
      </c>
      <c r="T25" s="12">
        <v>7.9000000000000008E-3</v>
      </c>
      <c r="U25" s="42">
        <f t="shared" si="3"/>
        <v>0.39500000000000002</v>
      </c>
      <c r="V25" s="12">
        <v>7.9000000000000008E-3</v>
      </c>
      <c r="W25" s="42">
        <f t="shared" si="4"/>
        <v>0.39500000000000002</v>
      </c>
      <c r="X25" s="12">
        <v>7.9000000000000008E-3</v>
      </c>
      <c r="Y25" s="42">
        <f t="shared" si="5"/>
        <v>0.79</v>
      </c>
      <c r="Z25" s="12">
        <v>7.9000000000000008E-3</v>
      </c>
      <c r="AA25" s="42">
        <f t="shared" si="6"/>
        <v>2.7650000000000001</v>
      </c>
      <c r="AB25" s="50"/>
    </row>
    <row r="26" spans="1:28" ht="13.5" thickBot="1">
      <c r="A26" s="106">
        <v>24</v>
      </c>
      <c r="B26" s="110"/>
      <c r="C26" s="137" t="s">
        <v>166</v>
      </c>
      <c r="D26" s="138" t="s">
        <v>167</v>
      </c>
      <c r="E26" s="139" t="s">
        <v>72</v>
      </c>
      <c r="F26" s="140" t="s">
        <v>168</v>
      </c>
      <c r="G26" s="139" t="s">
        <v>128</v>
      </c>
      <c r="H26" s="141" t="s">
        <v>169</v>
      </c>
      <c r="I26" s="141" t="s">
        <v>170</v>
      </c>
      <c r="J26" s="139" t="s">
        <v>171</v>
      </c>
      <c r="K26" s="72">
        <v>4</v>
      </c>
      <c r="L26" s="72">
        <f t="shared" si="0"/>
        <v>20</v>
      </c>
      <c r="M26" s="72">
        <f t="shared" si="1"/>
        <v>100</v>
      </c>
      <c r="N26" s="72">
        <f t="shared" si="2"/>
        <v>400</v>
      </c>
      <c r="O26" s="72">
        <v>20</v>
      </c>
      <c r="P26" s="72">
        <v>40</v>
      </c>
      <c r="Q26" s="72">
        <v>120</v>
      </c>
      <c r="R26" s="72">
        <v>420</v>
      </c>
      <c r="S26" s="11" t="s">
        <v>38</v>
      </c>
      <c r="T26" s="12">
        <v>2.5399999999999999E-2</v>
      </c>
      <c r="U26" s="42">
        <f t="shared" si="3"/>
        <v>0.50800000000000001</v>
      </c>
      <c r="V26" s="12">
        <v>2.5399999999999999E-2</v>
      </c>
      <c r="W26" s="42">
        <f t="shared" si="4"/>
        <v>1.016</v>
      </c>
      <c r="X26" s="12">
        <v>2.5399999999999999E-2</v>
      </c>
      <c r="Y26" s="42">
        <f t="shared" si="5"/>
        <v>3.048</v>
      </c>
      <c r="Z26" s="12">
        <v>2.06E-2</v>
      </c>
      <c r="AA26" s="42">
        <f t="shared" si="6"/>
        <v>8.6519999999999992</v>
      </c>
      <c r="AB26" s="27"/>
    </row>
    <row r="27" spans="1:28" ht="13.5" thickBot="1">
      <c r="A27" s="106">
        <v>25</v>
      </c>
      <c r="B27" s="110"/>
      <c r="C27" s="137" t="s">
        <v>172</v>
      </c>
      <c r="D27" s="139" t="s">
        <v>173</v>
      </c>
      <c r="E27" s="139" t="s">
        <v>72</v>
      </c>
      <c r="F27" s="139" t="s">
        <v>174</v>
      </c>
      <c r="G27" s="139" t="s">
        <v>66</v>
      </c>
      <c r="H27" s="139" t="s">
        <v>35</v>
      </c>
      <c r="I27" s="141" t="s">
        <v>175</v>
      </c>
      <c r="J27" s="139" t="s">
        <v>171</v>
      </c>
      <c r="K27" s="72">
        <v>4</v>
      </c>
      <c r="L27" s="72">
        <f t="shared" si="0"/>
        <v>20</v>
      </c>
      <c r="M27" s="72">
        <f t="shared" si="1"/>
        <v>100</v>
      </c>
      <c r="N27" s="72">
        <f t="shared" si="2"/>
        <v>400</v>
      </c>
      <c r="O27" s="72">
        <v>10</v>
      </c>
      <c r="P27" s="72">
        <v>30</v>
      </c>
      <c r="Q27" s="72">
        <v>110</v>
      </c>
      <c r="R27" s="72">
        <v>410</v>
      </c>
      <c r="S27" s="11" t="s">
        <v>38</v>
      </c>
      <c r="T27" s="12">
        <v>7.4200000000000002E-2</v>
      </c>
      <c r="U27" s="42">
        <f t="shared" si="3"/>
        <v>0.74199999999999999</v>
      </c>
      <c r="V27" s="12">
        <v>7.4200000000000002E-2</v>
      </c>
      <c r="W27" s="42">
        <f t="shared" si="4"/>
        <v>2.226</v>
      </c>
      <c r="X27" s="12">
        <v>7.4200000000000002E-2</v>
      </c>
      <c r="Y27" s="42">
        <f t="shared" si="5"/>
        <v>8.1620000000000008</v>
      </c>
      <c r="Z27" s="12">
        <v>6.3100000000000003E-2</v>
      </c>
      <c r="AA27" s="42">
        <f t="shared" si="6"/>
        <v>25.871000000000002</v>
      </c>
      <c r="AB27" s="50" t="s">
        <v>176</v>
      </c>
    </row>
    <row r="28" spans="1:28" ht="13.5" thickBot="1">
      <c r="A28" s="106">
        <v>26</v>
      </c>
      <c r="B28" s="110"/>
      <c r="C28" s="69" t="s">
        <v>177</v>
      </c>
      <c r="D28" s="76" t="s">
        <v>178</v>
      </c>
      <c r="E28" s="70" t="s">
        <v>88</v>
      </c>
      <c r="F28" s="70" t="s">
        <v>179</v>
      </c>
      <c r="G28" s="70" t="s">
        <v>74</v>
      </c>
      <c r="H28" s="70" t="s">
        <v>35</v>
      </c>
      <c r="I28" s="74" t="s">
        <v>180</v>
      </c>
      <c r="J28" s="70" t="s">
        <v>181</v>
      </c>
      <c r="K28" s="72">
        <v>1</v>
      </c>
      <c r="L28" s="72">
        <f t="shared" si="0"/>
        <v>5</v>
      </c>
      <c r="M28" s="72">
        <f t="shared" si="1"/>
        <v>25</v>
      </c>
      <c r="N28" s="72">
        <f t="shared" si="2"/>
        <v>100</v>
      </c>
      <c r="O28" s="72">
        <v>50</v>
      </c>
      <c r="P28" s="72">
        <v>50</v>
      </c>
      <c r="Q28" s="72">
        <v>50</v>
      </c>
      <c r="R28" s="72">
        <v>150</v>
      </c>
      <c r="S28" s="11" t="s">
        <v>38</v>
      </c>
      <c r="T28" s="12">
        <v>4.7000000000000002E-3</v>
      </c>
      <c r="U28" s="42">
        <f t="shared" si="3"/>
        <v>0.23500000000000001</v>
      </c>
      <c r="V28" s="12">
        <v>4.7000000000000002E-3</v>
      </c>
      <c r="W28" s="42">
        <f t="shared" si="4"/>
        <v>0.23500000000000001</v>
      </c>
      <c r="X28" s="12">
        <v>4.7000000000000002E-3</v>
      </c>
      <c r="Y28" s="42">
        <f t="shared" si="5"/>
        <v>0.23500000000000001</v>
      </c>
      <c r="Z28" s="12">
        <v>4.7000000000000002E-3</v>
      </c>
      <c r="AA28" s="42">
        <f t="shared" si="6"/>
        <v>0.70500000000000007</v>
      </c>
      <c r="AB28" s="50"/>
    </row>
    <row r="29" spans="1:28" ht="13.5" thickBot="1">
      <c r="A29" s="106">
        <v>27</v>
      </c>
      <c r="B29" s="111"/>
      <c r="C29" s="149" t="s">
        <v>182</v>
      </c>
      <c r="D29" s="150" t="s">
        <v>183</v>
      </c>
      <c r="E29" s="150" t="s">
        <v>184</v>
      </c>
      <c r="F29" s="150" t="s">
        <v>185</v>
      </c>
      <c r="G29" s="150" t="s">
        <v>66</v>
      </c>
      <c r="H29" s="150" t="s">
        <v>35</v>
      </c>
      <c r="I29" s="151" t="s">
        <v>186</v>
      </c>
      <c r="J29" s="150" t="s">
        <v>187</v>
      </c>
      <c r="K29" s="82">
        <v>4</v>
      </c>
      <c r="L29" s="82">
        <f t="shared" si="0"/>
        <v>20</v>
      </c>
      <c r="M29" s="82">
        <f t="shared" si="1"/>
        <v>100</v>
      </c>
      <c r="N29" s="82">
        <f t="shared" si="2"/>
        <v>400</v>
      </c>
      <c r="O29" s="82">
        <v>50</v>
      </c>
      <c r="P29" s="82">
        <v>50</v>
      </c>
      <c r="Q29" s="82">
        <v>150</v>
      </c>
      <c r="R29" s="82">
        <v>450</v>
      </c>
      <c r="S29" s="13" t="s">
        <v>38</v>
      </c>
      <c r="T29" s="21">
        <v>5.4000000000000003E-3</v>
      </c>
      <c r="U29" s="15">
        <f t="shared" si="3"/>
        <v>0.27</v>
      </c>
      <c r="V29" s="21">
        <v>5.4000000000000003E-3</v>
      </c>
      <c r="W29" s="15">
        <f t="shared" si="4"/>
        <v>0.27</v>
      </c>
      <c r="X29" s="21">
        <v>5.4000000000000003E-3</v>
      </c>
      <c r="Y29" s="15">
        <f t="shared" si="5"/>
        <v>0.81</v>
      </c>
      <c r="Z29" s="21">
        <v>5.4000000000000003E-3</v>
      </c>
      <c r="AA29" s="15">
        <f t="shared" si="6"/>
        <v>2.4300000000000002</v>
      </c>
      <c r="AB29" s="29"/>
    </row>
    <row r="30" spans="1:28" ht="13.5" thickBot="1">
      <c r="A30" s="106">
        <v>28</v>
      </c>
      <c r="B30" s="112" t="s">
        <v>188</v>
      </c>
      <c r="C30" s="66" t="s">
        <v>189</v>
      </c>
      <c r="D30" s="67" t="s">
        <v>190</v>
      </c>
      <c r="E30" s="67" t="s">
        <v>32</v>
      </c>
      <c r="F30" s="67" t="s">
        <v>191</v>
      </c>
      <c r="G30" s="67" t="s">
        <v>192</v>
      </c>
      <c r="H30" s="67" t="s">
        <v>35</v>
      </c>
      <c r="I30" s="67" t="s">
        <v>35</v>
      </c>
      <c r="J30" s="67" t="s">
        <v>193</v>
      </c>
      <c r="K30" s="68">
        <v>1</v>
      </c>
      <c r="L30" s="68">
        <f t="shared" si="0"/>
        <v>5</v>
      </c>
      <c r="M30" s="68">
        <f t="shared" si="1"/>
        <v>25</v>
      </c>
      <c r="N30" s="68">
        <f t="shared" si="2"/>
        <v>100</v>
      </c>
      <c r="O30" s="68">
        <v>29</v>
      </c>
      <c r="P30" s="68">
        <v>29</v>
      </c>
      <c r="Q30" s="68">
        <v>29</v>
      </c>
      <c r="R30" s="68">
        <v>105</v>
      </c>
      <c r="S30" s="16" t="s">
        <v>194</v>
      </c>
      <c r="T30" s="17">
        <v>0.50900000000000001</v>
      </c>
      <c r="U30" s="5">
        <f t="shared" si="3"/>
        <v>14.761000000000001</v>
      </c>
      <c r="V30" s="17">
        <v>0.50900000000000001</v>
      </c>
      <c r="W30" s="5">
        <f t="shared" si="4"/>
        <v>14.761000000000001</v>
      </c>
      <c r="X30" s="17">
        <v>0.50900000000000001</v>
      </c>
      <c r="Y30" s="5">
        <f t="shared" si="5"/>
        <v>14.761000000000001</v>
      </c>
      <c r="Z30" s="17">
        <v>0.50900000000000001</v>
      </c>
      <c r="AA30" s="5">
        <f t="shared" si="6"/>
        <v>53.445</v>
      </c>
      <c r="AB30" s="30" t="s">
        <v>195</v>
      </c>
    </row>
    <row r="31" spans="1:28" ht="13.5" thickBot="1">
      <c r="A31" s="106">
        <v>29</v>
      </c>
      <c r="B31" s="111"/>
      <c r="C31" s="79" t="s">
        <v>196</v>
      </c>
      <c r="D31" s="80" t="s">
        <v>197</v>
      </c>
      <c r="E31" s="80" t="s">
        <v>198</v>
      </c>
      <c r="F31" s="98" t="s">
        <v>199</v>
      </c>
      <c r="G31" s="80" t="s">
        <v>200</v>
      </c>
      <c r="H31" s="83" t="s">
        <v>201</v>
      </c>
      <c r="I31" s="81" t="s">
        <v>202</v>
      </c>
      <c r="J31" s="80" t="s">
        <v>193</v>
      </c>
      <c r="K31" s="82">
        <v>1</v>
      </c>
      <c r="L31" s="82">
        <f t="shared" si="0"/>
        <v>5</v>
      </c>
      <c r="M31" s="82">
        <f t="shared" si="1"/>
        <v>25</v>
      </c>
      <c r="N31" s="82">
        <f t="shared" si="2"/>
        <v>100</v>
      </c>
      <c r="O31" s="82">
        <v>10</v>
      </c>
      <c r="P31" s="82">
        <v>10</v>
      </c>
      <c r="Q31" s="82">
        <v>30</v>
      </c>
      <c r="R31" s="82">
        <v>110</v>
      </c>
      <c r="S31" s="13" t="s">
        <v>38</v>
      </c>
      <c r="T31" s="14">
        <v>8.1699999999999995E-2</v>
      </c>
      <c r="U31" s="15">
        <f t="shared" si="3"/>
        <v>0.81699999999999995</v>
      </c>
      <c r="V31" s="14">
        <v>8.1699999999999995E-2</v>
      </c>
      <c r="W31" s="15">
        <f t="shared" si="4"/>
        <v>0.81699999999999995</v>
      </c>
      <c r="X31" s="14">
        <v>8.1699999999999995E-2</v>
      </c>
      <c r="Y31" s="15">
        <f t="shared" si="5"/>
        <v>2.4509999999999996</v>
      </c>
      <c r="Z31" s="14">
        <v>6.7699999999999996E-2</v>
      </c>
      <c r="AA31" s="15">
        <f t="shared" si="6"/>
        <v>7.4469999999999992</v>
      </c>
      <c r="AB31" s="29"/>
    </row>
    <row r="32" spans="1:28" ht="13.5" thickBot="1">
      <c r="A32" s="106">
        <v>30</v>
      </c>
      <c r="B32" s="112" t="s">
        <v>203</v>
      </c>
      <c r="C32" s="66" t="s">
        <v>204</v>
      </c>
      <c r="D32" s="67" t="s">
        <v>205</v>
      </c>
      <c r="E32" s="67" t="s">
        <v>32</v>
      </c>
      <c r="F32" s="67" t="s">
        <v>206</v>
      </c>
      <c r="G32" s="67" t="s">
        <v>207</v>
      </c>
      <c r="H32" s="67" t="s">
        <v>35</v>
      </c>
      <c r="I32" s="84" t="s">
        <v>208</v>
      </c>
      <c r="J32" s="67" t="s">
        <v>193</v>
      </c>
      <c r="K32" s="68">
        <v>1</v>
      </c>
      <c r="L32" s="68">
        <f t="shared" si="0"/>
        <v>5</v>
      </c>
      <c r="M32" s="68">
        <f t="shared" si="1"/>
        <v>25</v>
      </c>
      <c r="N32" s="68">
        <f t="shared" si="2"/>
        <v>100</v>
      </c>
      <c r="O32" s="68">
        <v>10</v>
      </c>
      <c r="P32" s="68">
        <v>10</v>
      </c>
      <c r="Q32" s="68">
        <v>30</v>
      </c>
      <c r="R32" s="68">
        <v>110</v>
      </c>
      <c r="S32" s="16" t="s">
        <v>38</v>
      </c>
      <c r="T32" s="17">
        <v>5.0700000000000002E-2</v>
      </c>
      <c r="U32" s="5">
        <f t="shared" si="3"/>
        <v>0.50700000000000001</v>
      </c>
      <c r="V32" s="17">
        <v>5.0700000000000002E-2</v>
      </c>
      <c r="W32" s="5">
        <f t="shared" si="4"/>
        <v>0.50700000000000001</v>
      </c>
      <c r="X32" s="17">
        <v>5.0700000000000002E-2</v>
      </c>
      <c r="Y32" s="5">
        <f t="shared" si="5"/>
        <v>1.5210000000000001</v>
      </c>
      <c r="Z32" s="17">
        <v>4.3299999999999998E-2</v>
      </c>
      <c r="AA32" s="5">
        <f t="shared" si="6"/>
        <v>4.7629999999999999</v>
      </c>
      <c r="AB32" s="24"/>
    </row>
    <row r="33" spans="1:28" ht="13.5" thickBot="1">
      <c r="A33" s="106">
        <v>31</v>
      </c>
      <c r="B33" s="110"/>
      <c r="C33" s="69" t="s">
        <v>209</v>
      </c>
      <c r="D33" s="70" t="s">
        <v>210</v>
      </c>
      <c r="E33" s="70" t="s">
        <v>211</v>
      </c>
      <c r="F33" s="70" t="s">
        <v>212</v>
      </c>
      <c r="G33" s="70" t="s">
        <v>213</v>
      </c>
      <c r="H33" s="70" t="s">
        <v>35</v>
      </c>
      <c r="I33" s="74" t="s">
        <v>214</v>
      </c>
      <c r="J33" s="70" t="s">
        <v>193</v>
      </c>
      <c r="K33" s="72">
        <v>1</v>
      </c>
      <c r="L33" s="72">
        <f t="shared" si="0"/>
        <v>5</v>
      </c>
      <c r="M33" s="72">
        <f t="shared" si="1"/>
        <v>25</v>
      </c>
      <c r="N33" s="72">
        <f t="shared" si="2"/>
        <v>100</v>
      </c>
      <c r="O33" s="72">
        <v>10</v>
      </c>
      <c r="P33" s="72">
        <v>10</v>
      </c>
      <c r="Q33" s="72">
        <v>30</v>
      </c>
      <c r="R33" s="72">
        <v>110</v>
      </c>
      <c r="S33" s="11" t="s">
        <v>38</v>
      </c>
      <c r="T33" s="12">
        <v>7.3499999999999996E-2</v>
      </c>
      <c r="U33" s="42">
        <f t="shared" si="3"/>
        <v>0.73499999999999999</v>
      </c>
      <c r="V33" s="12">
        <v>7.3499999999999996E-2</v>
      </c>
      <c r="W33" s="42">
        <f t="shared" si="4"/>
        <v>0.73499999999999999</v>
      </c>
      <c r="X33" s="12">
        <v>7.3499999999999996E-2</v>
      </c>
      <c r="Y33" s="42">
        <f t="shared" si="5"/>
        <v>2.2050000000000001</v>
      </c>
      <c r="Z33" s="12">
        <v>6.0199999999999997E-2</v>
      </c>
      <c r="AA33" s="42">
        <f t="shared" si="6"/>
        <v>6.6219999999999999</v>
      </c>
      <c r="AB33" s="27"/>
    </row>
    <row r="34" spans="1:28" ht="13.5" thickBot="1">
      <c r="A34" s="106">
        <v>32</v>
      </c>
      <c r="B34" s="110"/>
      <c r="C34" s="69" t="s">
        <v>215</v>
      </c>
      <c r="D34" s="70" t="s">
        <v>216</v>
      </c>
      <c r="E34" s="70" t="s">
        <v>211</v>
      </c>
      <c r="F34" s="70" t="s">
        <v>217</v>
      </c>
      <c r="G34" s="70" t="s">
        <v>213</v>
      </c>
      <c r="H34" s="70" t="s">
        <v>35</v>
      </c>
      <c r="I34" s="71" t="s">
        <v>218</v>
      </c>
      <c r="J34" s="70" t="s">
        <v>193</v>
      </c>
      <c r="K34" s="72">
        <v>1</v>
      </c>
      <c r="L34" s="72">
        <f t="shared" si="0"/>
        <v>5</v>
      </c>
      <c r="M34" s="72">
        <f t="shared" si="1"/>
        <v>25</v>
      </c>
      <c r="N34" s="72">
        <f t="shared" si="2"/>
        <v>100</v>
      </c>
      <c r="O34" s="72">
        <v>10</v>
      </c>
      <c r="P34" s="72">
        <v>10</v>
      </c>
      <c r="Q34" s="72">
        <v>30</v>
      </c>
      <c r="R34" s="72">
        <v>110</v>
      </c>
      <c r="S34" s="11" t="s">
        <v>38</v>
      </c>
      <c r="T34" s="12">
        <v>4.1700000000000001E-2</v>
      </c>
      <c r="U34" s="42">
        <f t="shared" si="3"/>
        <v>0.41700000000000004</v>
      </c>
      <c r="V34" s="12">
        <v>4.1700000000000001E-2</v>
      </c>
      <c r="W34" s="42">
        <f t="shared" si="4"/>
        <v>0.41700000000000004</v>
      </c>
      <c r="X34" s="12">
        <v>4.1700000000000001E-2</v>
      </c>
      <c r="Y34" s="42">
        <f t="shared" si="5"/>
        <v>1.2510000000000001</v>
      </c>
      <c r="Z34" s="12">
        <v>3.4099999999999998E-2</v>
      </c>
      <c r="AA34" s="42">
        <f t="shared" si="6"/>
        <v>3.7509999999999999</v>
      </c>
      <c r="AB34" s="27"/>
    </row>
    <row r="35" spans="1:28" ht="13.5" thickBot="1">
      <c r="A35" s="106">
        <v>33</v>
      </c>
      <c r="B35" s="111"/>
      <c r="C35" s="121" t="s">
        <v>219</v>
      </c>
      <c r="D35" s="122" t="s">
        <v>220</v>
      </c>
      <c r="E35" s="122" t="s">
        <v>221</v>
      </c>
      <c r="F35" s="122" t="s">
        <v>222</v>
      </c>
      <c r="G35" s="122" t="s">
        <v>223</v>
      </c>
      <c r="H35" s="122" t="s">
        <v>35</v>
      </c>
      <c r="I35" s="122" t="s">
        <v>35</v>
      </c>
      <c r="J35" s="122" t="s">
        <v>193</v>
      </c>
      <c r="K35" s="123">
        <v>8</v>
      </c>
      <c r="L35" s="123">
        <f t="shared" si="0"/>
        <v>40</v>
      </c>
      <c r="M35" s="123">
        <f t="shared" si="1"/>
        <v>200</v>
      </c>
      <c r="N35" s="123">
        <f t="shared" si="2"/>
        <v>800</v>
      </c>
      <c r="O35" s="123"/>
      <c r="P35" s="123"/>
      <c r="Q35" s="123"/>
      <c r="R35" s="123"/>
      <c r="S35" s="124"/>
      <c r="T35" s="125"/>
      <c r="U35" s="125">
        <f t="shared" ref="U35:U65" si="7">T35*O35</f>
        <v>0</v>
      </c>
      <c r="V35" s="125"/>
      <c r="W35" s="125">
        <f t="shared" ref="W35:W65" si="8">V35*P35</f>
        <v>0</v>
      </c>
      <c r="X35" s="125"/>
      <c r="Y35" s="125">
        <f t="shared" ref="Y35:Y65" si="9">X35*Q35</f>
        <v>0</v>
      </c>
      <c r="Z35" s="125"/>
      <c r="AA35" s="125">
        <f t="shared" ref="AA35:AA65" si="10">Z35*R35</f>
        <v>0</v>
      </c>
      <c r="AB35" s="126" t="s">
        <v>224</v>
      </c>
    </row>
    <row r="36" spans="1:28" ht="15.75" thickBot="1">
      <c r="A36" s="106">
        <v>34</v>
      </c>
      <c r="B36" s="113" t="s">
        <v>225</v>
      </c>
      <c r="C36" s="85" t="s">
        <v>226</v>
      </c>
      <c r="D36" s="86" t="s">
        <v>227</v>
      </c>
      <c r="E36" s="86" t="s">
        <v>32</v>
      </c>
      <c r="F36" s="86" t="s">
        <v>228</v>
      </c>
      <c r="G36" s="86" t="s">
        <v>229</v>
      </c>
      <c r="H36" s="86" t="s">
        <v>35</v>
      </c>
      <c r="I36" s="86" t="s">
        <v>35</v>
      </c>
      <c r="J36" s="86" t="s">
        <v>193</v>
      </c>
      <c r="K36" s="87">
        <v>1</v>
      </c>
      <c r="L36" s="87">
        <f t="shared" si="0"/>
        <v>5</v>
      </c>
      <c r="M36" s="87">
        <f t="shared" si="1"/>
        <v>25</v>
      </c>
      <c r="N36" s="87">
        <f t="shared" si="2"/>
        <v>100</v>
      </c>
      <c r="O36" s="87"/>
      <c r="P36" s="87"/>
      <c r="Q36" s="87"/>
      <c r="R36" s="87"/>
      <c r="S36" s="2"/>
      <c r="T36" s="18"/>
      <c r="U36" s="18">
        <f t="shared" si="7"/>
        <v>0</v>
      </c>
      <c r="V36" s="18"/>
      <c r="W36" s="18">
        <f t="shared" si="8"/>
        <v>0</v>
      </c>
      <c r="X36" s="18"/>
      <c r="Y36" s="18">
        <f t="shared" si="9"/>
        <v>0</v>
      </c>
      <c r="Z36" s="18"/>
      <c r="AA36" s="18">
        <f t="shared" si="10"/>
        <v>0</v>
      </c>
      <c r="AB36" s="18" t="s">
        <v>224</v>
      </c>
    </row>
    <row r="37" spans="1:28" ht="13.5" thickBot="1">
      <c r="A37" s="106">
        <v>35</v>
      </c>
      <c r="B37" s="112" t="s">
        <v>230</v>
      </c>
      <c r="C37" s="66" t="s">
        <v>231</v>
      </c>
      <c r="D37" s="67" t="s">
        <v>232</v>
      </c>
      <c r="E37" s="67" t="s">
        <v>32</v>
      </c>
      <c r="F37" s="67" t="s">
        <v>233</v>
      </c>
      <c r="G37" s="67" t="s">
        <v>74</v>
      </c>
      <c r="H37" s="67" t="s">
        <v>35</v>
      </c>
      <c r="I37" s="84" t="s">
        <v>234</v>
      </c>
      <c r="J37" s="67" t="s">
        <v>235</v>
      </c>
      <c r="K37" s="68">
        <v>1</v>
      </c>
      <c r="L37" s="68">
        <f t="shared" si="0"/>
        <v>5</v>
      </c>
      <c r="M37" s="68">
        <f t="shared" si="1"/>
        <v>25</v>
      </c>
      <c r="N37" s="68">
        <f t="shared" si="2"/>
        <v>100</v>
      </c>
      <c r="O37" s="68">
        <v>5</v>
      </c>
      <c r="P37" s="68">
        <v>10</v>
      </c>
      <c r="Q37" s="68">
        <v>30</v>
      </c>
      <c r="R37" s="68">
        <v>105</v>
      </c>
      <c r="S37" s="16" t="s">
        <v>38</v>
      </c>
      <c r="T37" s="17">
        <v>0.49409999999999998</v>
      </c>
      <c r="U37" s="5">
        <f t="shared" si="7"/>
        <v>2.4704999999999999</v>
      </c>
      <c r="V37" s="17">
        <v>0.4022</v>
      </c>
      <c r="W37" s="5">
        <f t="shared" si="8"/>
        <v>4.0220000000000002</v>
      </c>
      <c r="X37" s="17">
        <v>0.33550000000000002</v>
      </c>
      <c r="Y37" s="5">
        <f t="shared" si="9"/>
        <v>10.065000000000001</v>
      </c>
      <c r="Z37" s="4">
        <v>0.26740000000000003</v>
      </c>
      <c r="AA37" s="5">
        <f t="shared" si="10"/>
        <v>28.077000000000002</v>
      </c>
      <c r="AB37" s="24"/>
    </row>
    <row r="38" spans="1:28" ht="13.5" thickBot="1">
      <c r="A38" s="106">
        <v>36</v>
      </c>
      <c r="B38" s="110"/>
      <c r="C38" s="69" t="s">
        <v>236</v>
      </c>
      <c r="D38" s="70" t="s">
        <v>237</v>
      </c>
      <c r="E38" s="70" t="s">
        <v>32</v>
      </c>
      <c r="F38" s="70" t="s">
        <v>238</v>
      </c>
      <c r="G38" s="70" t="s">
        <v>239</v>
      </c>
      <c r="H38" s="70" t="s">
        <v>35</v>
      </c>
      <c r="I38" s="74" t="s">
        <v>240</v>
      </c>
      <c r="J38" s="70" t="s">
        <v>241</v>
      </c>
      <c r="K38" s="72">
        <v>1</v>
      </c>
      <c r="L38" s="72">
        <f t="shared" si="0"/>
        <v>5</v>
      </c>
      <c r="M38" s="72">
        <f t="shared" si="1"/>
        <v>25</v>
      </c>
      <c r="N38" s="72">
        <f t="shared" si="2"/>
        <v>100</v>
      </c>
      <c r="O38" s="72">
        <v>10</v>
      </c>
      <c r="P38" s="72">
        <v>10</v>
      </c>
      <c r="Q38" s="72">
        <v>30</v>
      </c>
      <c r="R38" s="72">
        <v>110</v>
      </c>
      <c r="S38" s="19" t="s">
        <v>38</v>
      </c>
      <c r="T38" s="12">
        <v>7.3200000000000001E-2</v>
      </c>
      <c r="U38" s="6">
        <f t="shared" si="7"/>
        <v>0.73199999999999998</v>
      </c>
      <c r="V38" s="12">
        <v>7.3200000000000001E-2</v>
      </c>
      <c r="W38" s="6">
        <f t="shared" si="8"/>
        <v>0.73199999999999998</v>
      </c>
      <c r="X38" s="12">
        <v>7.3200000000000001E-2</v>
      </c>
      <c r="Y38" s="6">
        <f t="shared" si="9"/>
        <v>2.1960000000000002</v>
      </c>
      <c r="Z38" s="12">
        <v>5.9499999999999997E-2</v>
      </c>
      <c r="AA38" s="6">
        <f t="shared" si="10"/>
        <v>6.5449999999999999</v>
      </c>
      <c r="AB38" s="28"/>
    </row>
    <row r="39" spans="1:28" ht="13.5" thickBot="1">
      <c r="A39" s="106">
        <v>37</v>
      </c>
      <c r="B39" s="111"/>
      <c r="C39" s="79" t="s">
        <v>242</v>
      </c>
      <c r="D39" s="80" t="s">
        <v>243</v>
      </c>
      <c r="E39" s="80" t="s">
        <v>32</v>
      </c>
      <c r="F39" s="98" t="s">
        <v>244</v>
      </c>
      <c r="G39" s="80" t="s">
        <v>74</v>
      </c>
      <c r="H39" s="81" t="s">
        <v>245</v>
      </c>
      <c r="I39" s="83" t="s">
        <v>246</v>
      </c>
      <c r="J39" s="80" t="s">
        <v>193</v>
      </c>
      <c r="K39" s="82">
        <v>4</v>
      </c>
      <c r="L39" s="82">
        <f t="shared" si="0"/>
        <v>20</v>
      </c>
      <c r="M39" s="82">
        <f t="shared" si="1"/>
        <v>100</v>
      </c>
      <c r="N39" s="82">
        <f t="shared" si="2"/>
        <v>400</v>
      </c>
      <c r="O39" s="82">
        <v>10</v>
      </c>
      <c r="P39" s="82">
        <v>25</v>
      </c>
      <c r="Q39" s="82">
        <v>110</v>
      </c>
      <c r="R39" s="82">
        <v>410</v>
      </c>
      <c r="S39" s="20" t="s">
        <v>38</v>
      </c>
      <c r="T39" s="14">
        <v>0.17469999999999999</v>
      </c>
      <c r="U39" s="15">
        <f t="shared" si="7"/>
        <v>1.7469999999999999</v>
      </c>
      <c r="V39" s="14">
        <v>0.14449999999999999</v>
      </c>
      <c r="W39" s="15">
        <f t="shared" si="8"/>
        <v>3.6124999999999998</v>
      </c>
      <c r="X39" s="21">
        <v>0.1227</v>
      </c>
      <c r="Y39" s="15">
        <f t="shared" si="9"/>
        <v>13.497</v>
      </c>
      <c r="Z39" s="21">
        <v>0.1046</v>
      </c>
      <c r="AA39" s="15">
        <f t="shared" si="10"/>
        <v>42.886000000000003</v>
      </c>
      <c r="AB39" s="31" t="s">
        <v>247</v>
      </c>
    </row>
    <row r="40" spans="1:28" ht="15.75" thickBot="1">
      <c r="A40" s="106">
        <v>38</v>
      </c>
      <c r="B40" s="114" t="s">
        <v>248</v>
      </c>
      <c r="C40" s="88" t="s">
        <v>249</v>
      </c>
      <c r="D40" s="89" t="s">
        <v>250</v>
      </c>
      <c r="E40" s="90" t="s">
        <v>251</v>
      </c>
      <c r="F40" s="90" t="s">
        <v>252</v>
      </c>
      <c r="G40" s="90" t="s">
        <v>253</v>
      </c>
      <c r="H40" s="90" t="s">
        <v>35</v>
      </c>
      <c r="I40" s="90" t="s">
        <v>35</v>
      </c>
      <c r="J40" s="90" t="s">
        <v>193</v>
      </c>
      <c r="K40" s="91">
        <v>8</v>
      </c>
      <c r="L40" s="91">
        <f t="shared" si="0"/>
        <v>40</v>
      </c>
      <c r="M40" s="91">
        <f t="shared" si="1"/>
        <v>200</v>
      </c>
      <c r="N40" s="91">
        <f t="shared" si="2"/>
        <v>800</v>
      </c>
      <c r="O40" s="91">
        <v>10</v>
      </c>
      <c r="P40" s="91">
        <v>45</v>
      </c>
      <c r="Q40" s="91">
        <v>205</v>
      </c>
      <c r="R40" s="91">
        <v>805</v>
      </c>
      <c r="S40" s="22" t="s">
        <v>254</v>
      </c>
      <c r="T40" s="23">
        <v>1.3759999999999999</v>
      </c>
      <c r="U40" s="23">
        <f t="shared" si="7"/>
        <v>13.759999999999998</v>
      </c>
      <c r="V40" s="23">
        <v>1.3759999999999999</v>
      </c>
      <c r="W40" s="23">
        <f t="shared" si="8"/>
        <v>61.919999999999995</v>
      </c>
      <c r="X40" s="23">
        <v>1.3759999999999999</v>
      </c>
      <c r="Y40" s="23">
        <f t="shared" si="9"/>
        <v>282.08</v>
      </c>
      <c r="Z40" s="23">
        <v>1.3759999999999999</v>
      </c>
      <c r="AA40" s="23">
        <f t="shared" si="10"/>
        <v>1107.6799999999998</v>
      </c>
      <c r="AB40" s="32"/>
    </row>
    <row r="41" spans="1:28" ht="13.5" thickBot="1">
      <c r="A41" s="106">
        <v>39</v>
      </c>
      <c r="B41" s="112" t="s">
        <v>255</v>
      </c>
      <c r="C41" s="66" t="s">
        <v>256</v>
      </c>
      <c r="D41" s="92" t="s">
        <v>257</v>
      </c>
      <c r="E41" s="67" t="s">
        <v>184</v>
      </c>
      <c r="F41" s="67" t="s">
        <v>258</v>
      </c>
      <c r="G41" s="67" t="s">
        <v>60</v>
      </c>
      <c r="H41" s="67" t="s">
        <v>35</v>
      </c>
      <c r="I41" s="93" t="s">
        <v>259</v>
      </c>
      <c r="J41" s="67" t="s">
        <v>260</v>
      </c>
      <c r="K41" s="68">
        <v>2</v>
      </c>
      <c r="L41" s="68">
        <f t="shared" si="0"/>
        <v>10</v>
      </c>
      <c r="M41" s="68">
        <f t="shared" si="1"/>
        <v>50</v>
      </c>
      <c r="N41" s="68">
        <f t="shared" si="2"/>
        <v>200</v>
      </c>
      <c r="O41" s="68">
        <v>100</v>
      </c>
      <c r="P41" s="68">
        <v>100</v>
      </c>
      <c r="Q41" s="68">
        <v>100</v>
      </c>
      <c r="R41" s="68">
        <v>300</v>
      </c>
      <c r="S41" s="16" t="s">
        <v>38</v>
      </c>
      <c r="T41" s="17">
        <v>1.1999999999999999E-3</v>
      </c>
      <c r="U41" s="5">
        <f t="shared" si="7"/>
        <v>0.12</v>
      </c>
      <c r="V41" s="17">
        <v>1.1999999999999999E-3</v>
      </c>
      <c r="W41" s="5">
        <f t="shared" si="8"/>
        <v>0.12</v>
      </c>
      <c r="X41" s="17">
        <v>1.1999999999999999E-3</v>
      </c>
      <c r="Y41" s="5">
        <f t="shared" si="9"/>
        <v>0.12</v>
      </c>
      <c r="Z41" s="17">
        <v>1.1999999999999999E-3</v>
      </c>
      <c r="AA41" s="5">
        <f t="shared" si="10"/>
        <v>0.36</v>
      </c>
      <c r="AB41" s="33"/>
    </row>
    <row r="42" spans="1:28" ht="13.5" thickBot="1">
      <c r="A42" s="106">
        <v>40</v>
      </c>
      <c r="B42" s="110"/>
      <c r="C42" s="69" t="s">
        <v>261</v>
      </c>
      <c r="D42" s="70" t="s">
        <v>262</v>
      </c>
      <c r="E42" s="70" t="s">
        <v>184</v>
      </c>
      <c r="F42" s="70" t="s">
        <v>263</v>
      </c>
      <c r="G42" s="70" t="s">
        <v>60</v>
      </c>
      <c r="H42" s="70" t="s">
        <v>35</v>
      </c>
      <c r="I42" s="74" t="s">
        <v>264</v>
      </c>
      <c r="J42" s="70" t="s">
        <v>265</v>
      </c>
      <c r="K42" s="72">
        <v>1</v>
      </c>
      <c r="L42" s="72">
        <f t="shared" si="0"/>
        <v>5</v>
      </c>
      <c r="M42" s="72">
        <f t="shared" si="1"/>
        <v>25</v>
      </c>
      <c r="N42" s="72">
        <f t="shared" si="2"/>
        <v>100</v>
      </c>
      <c r="O42" s="72">
        <v>100</v>
      </c>
      <c r="P42" s="72">
        <v>100</v>
      </c>
      <c r="Q42" s="72">
        <v>100</v>
      </c>
      <c r="R42" s="72">
        <v>200</v>
      </c>
      <c r="S42" s="10" t="s">
        <v>38</v>
      </c>
      <c r="T42" s="12">
        <v>1.4E-3</v>
      </c>
      <c r="U42" s="6">
        <f t="shared" si="7"/>
        <v>0.13999999999999999</v>
      </c>
      <c r="V42" s="12">
        <v>1.4E-3</v>
      </c>
      <c r="W42" s="6">
        <f t="shared" si="8"/>
        <v>0.13999999999999999</v>
      </c>
      <c r="X42" s="12">
        <v>1.4E-3</v>
      </c>
      <c r="Y42" s="6">
        <f t="shared" si="9"/>
        <v>0.13999999999999999</v>
      </c>
      <c r="Z42" s="12">
        <v>1.4E-3</v>
      </c>
      <c r="AA42" s="6">
        <f t="shared" si="10"/>
        <v>0.27999999999999997</v>
      </c>
      <c r="AB42" s="28"/>
    </row>
    <row r="43" spans="1:28" ht="13.5" thickBot="1">
      <c r="A43" s="106">
        <v>41</v>
      </c>
      <c r="B43" s="110"/>
      <c r="C43" s="69" t="s">
        <v>266</v>
      </c>
      <c r="D43" s="76" t="s">
        <v>267</v>
      </c>
      <c r="E43" s="70" t="s">
        <v>184</v>
      </c>
      <c r="F43" s="70" t="s">
        <v>268</v>
      </c>
      <c r="G43" s="70" t="s">
        <v>60</v>
      </c>
      <c r="H43" s="70" t="s">
        <v>35</v>
      </c>
      <c r="I43" s="74" t="s">
        <v>269</v>
      </c>
      <c r="J43" s="70" t="s">
        <v>270</v>
      </c>
      <c r="K43" s="72">
        <v>2</v>
      </c>
      <c r="L43" s="72">
        <f t="shared" si="0"/>
        <v>10</v>
      </c>
      <c r="M43" s="72">
        <f t="shared" si="1"/>
        <v>50</v>
      </c>
      <c r="N43" s="72">
        <f t="shared" si="2"/>
        <v>200</v>
      </c>
      <c r="O43" s="72">
        <v>100</v>
      </c>
      <c r="P43" s="72">
        <v>100</v>
      </c>
      <c r="Q43" s="72">
        <v>100</v>
      </c>
      <c r="R43" s="72">
        <v>300</v>
      </c>
      <c r="S43" s="10" t="s">
        <v>38</v>
      </c>
      <c r="T43" s="12">
        <v>1.2999999999999999E-3</v>
      </c>
      <c r="U43" s="6">
        <f t="shared" si="7"/>
        <v>0.13</v>
      </c>
      <c r="V43" s="12">
        <v>1.2999999999999999E-3</v>
      </c>
      <c r="W43" s="6">
        <f t="shared" si="8"/>
        <v>0.13</v>
      </c>
      <c r="X43" s="12">
        <v>1.2999999999999999E-3</v>
      </c>
      <c r="Y43" s="6">
        <f t="shared" si="9"/>
        <v>0.13</v>
      </c>
      <c r="Z43" s="12">
        <v>1.2999999999999999E-3</v>
      </c>
      <c r="AA43" s="6">
        <f t="shared" si="10"/>
        <v>0.38999999999999996</v>
      </c>
      <c r="AB43" s="25"/>
    </row>
    <row r="44" spans="1:28" ht="13.5" thickBot="1">
      <c r="A44" s="106">
        <v>42</v>
      </c>
      <c r="B44" s="110"/>
      <c r="C44" s="69" t="s">
        <v>271</v>
      </c>
      <c r="D44" s="70" t="s">
        <v>272</v>
      </c>
      <c r="E44" s="70" t="s">
        <v>184</v>
      </c>
      <c r="F44" s="70" t="s">
        <v>273</v>
      </c>
      <c r="G44" s="70" t="s">
        <v>60</v>
      </c>
      <c r="H44" s="70" t="s">
        <v>35</v>
      </c>
      <c r="I44" s="74" t="s">
        <v>274</v>
      </c>
      <c r="J44" s="70" t="s">
        <v>275</v>
      </c>
      <c r="K44" s="72">
        <v>3</v>
      </c>
      <c r="L44" s="72">
        <f t="shared" si="0"/>
        <v>15</v>
      </c>
      <c r="M44" s="72">
        <f t="shared" si="1"/>
        <v>75</v>
      </c>
      <c r="N44" s="72">
        <f t="shared" si="2"/>
        <v>300</v>
      </c>
      <c r="O44" s="72">
        <v>100</v>
      </c>
      <c r="P44" s="72">
        <v>100</v>
      </c>
      <c r="Q44" s="72">
        <v>100</v>
      </c>
      <c r="R44" s="72">
        <v>400</v>
      </c>
      <c r="S44" s="10" t="s">
        <v>38</v>
      </c>
      <c r="T44" s="12">
        <v>1.2999999999999999E-3</v>
      </c>
      <c r="U44" s="6">
        <f t="shared" si="7"/>
        <v>0.13</v>
      </c>
      <c r="V44" s="12">
        <v>1.2999999999999999E-3</v>
      </c>
      <c r="W44" s="6">
        <f t="shared" si="8"/>
        <v>0.13</v>
      </c>
      <c r="X44" s="12">
        <v>1.2999999999999999E-3</v>
      </c>
      <c r="Y44" s="6">
        <f t="shared" si="9"/>
        <v>0.13</v>
      </c>
      <c r="Z44" s="12">
        <v>1.2999999999999999E-3</v>
      </c>
      <c r="AA44" s="6">
        <f t="shared" si="10"/>
        <v>0.52</v>
      </c>
      <c r="AB44" s="28"/>
    </row>
    <row r="45" spans="1:28" ht="13.5" thickBot="1">
      <c r="A45" s="106">
        <v>43</v>
      </c>
      <c r="B45" s="110"/>
      <c r="C45" s="69" t="s">
        <v>276</v>
      </c>
      <c r="D45" s="76" t="s">
        <v>277</v>
      </c>
      <c r="E45" s="70" t="s">
        <v>184</v>
      </c>
      <c r="F45" s="70" t="s">
        <v>278</v>
      </c>
      <c r="G45" s="70" t="s">
        <v>60</v>
      </c>
      <c r="H45" s="70" t="s">
        <v>35</v>
      </c>
      <c r="I45" s="74" t="s">
        <v>279</v>
      </c>
      <c r="J45" s="70" t="s">
        <v>280</v>
      </c>
      <c r="K45" s="72">
        <v>4</v>
      </c>
      <c r="L45" s="72">
        <f t="shared" si="0"/>
        <v>20</v>
      </c>
      <c r="M45" s="72">
        <f t="shared" si="1"/>
        <v>100</v>
      </c>
      <c r="N45" s="72">
        <f t="shared" si="2"/>
        <v>400</v>
      </c>
      <c r="O45" s="72">
        <v>100</v>
      </c>
      <c r="P45" s="72">
        <v>100</v>
      </c>
      <c r="Q45" s="72">
        <v>200</v>
      </c>
      <c r="R45" s="72">
        <v>500</v>
      </c>
      <c r="S45" s="10" t="s">
        <v>38</v>
      </c>
      <c r="T45" s="12">
        <v>1.6000000000000001E-3</v>
      </c>
      <c r="U45" s="6">
        <f t="shared" si="7"/>
        <v>0.16</v>
      </c>
      <c r="V45" s="12">
        <v>1.6000000000000001E-3</v>
      </c>
      <c r="W45" s="6">
        <f t="shared" si="8"/>
        <v>0.16</v>
      </c>
      <c r="X45" s="12">
        <v>1.6000000000000001E-3</v>
      </c>
      <c r="Y45" s="6">
        <f t="shared" si="9"/>
        <v>0.32</v>
      </c>
      <c r="Z45" s="12">
        <v>1.6000000000000001E-3</v>
      </c>
      <c r="AA45" s="6">
        <f t="shared" si="10"/>
        <v>0.8</v>
      </c>
      <c r="AB45" s="25"/>
    </row>
    <row r="46" spans="1:28" ht="13.5" thickBot="1">
      <c r="A46" s="106">
        <v>44</v>
      </c>
      <c r="B46" s="110"/>
      <c r="C46" s="69" t="s">
        <v>281</v>
      </c>
      <c r="D46" s="76" t="s">
        <v>282</v>
      </c>
      <c r="E46" s="70" t="s">
        <v>283</v>
      </c>
      <c r="F46" s="97" t="s">
        <v>284</v>
      </c>
      <c r="G46" s="72" t="s">
        <v>285</v>
      </c>
      <c r="H46" s="71" t="s">
        <v>286</v>
      </c>
      <c r="I46" s="74" t="s">
        <v>287</v>
      </c>
      <c r="J46" s="70" t="s">
        <v>288</v>
      </c>
      <c r="K46" s="72">
        <v>4</v>
      </c>
      <c r="L46" s="72">
        <f t="shared" si="0"/>
        <v>20</v>
      </c>
      <c r="M46" s="72">
        <f t="shared" si="1"/>
        <v>100</v>
      </c>
      <c r="N46" s="72">
        <f t="shared" si="2"/>
        <v>400</v>
      </c>
      <c r="O46" s="72">
        <v>10</v>
      </c>
      <c r="P46" s="72">
        <v>30</v>
      </c>
      <c r="Q46" s="72">
        <v>110</v>
      </c>
      <c r="R46" s="72">
        <v>410</v>
      </c>
      <c r="S46" s="10" t="s">
        <v>38</v>
      </c>
      <c r="T46" s="12">
        <v>0.14460000000000001</v>
      </c>
      <c r="U46" s="6">
        <f t="shared" si="7"/>
        <v>1.4460000000000002</v>
      </c>
      <c r="V46" s="12">
        <v>0.14460000000000001</v>
      </c>
      <c r="W46" s="6">
        <f t="shared" si="8"/>
        <v>4.3380000000000001</v>
      </c>
      <c r="X46" s="12">
        <v>0.1193</v>
      </c>
      <c r="Y46" s="6">
        <f t="shared" si="9"/>
        <v>13.123000000000001</v>
      </c>
      <c r="Z46" s="12">
        <v>0.10100000000000001</v>
      </c>
      <c r="AA46" s="6">
        <f t="shared" si="10"/>
        <v>41.410000000000004</v>
      </c>
      <c r="AB46" s="25" t="s">
        <v>289</v>
      </c>
    </row>
    <row r="47" spans="1:28" ht="26.25" thickBot="1">
      <c r="A47" s="106">
        <v>45</v>
      </c>
      <c r="B47" s="110"/>
      <c r="C47" s="69" t="s">
        <v>290</v>
      </c>
      <c r="D47" s="78" t="s">
        <v>291</v>
      </c>
      <c r="E47" s="70" t="s">
        <v>184</v>
      </c>
      <c r="F47" s="70" t="s">
        <v>292</v>
      </c>
      <c r="G47" s="72" t="s">
        <v>60</v>
      </c>
      <c r="H47" s="70" t="s">
        <v>35</v>
      </c>
      <c r="I47" s="74" t="s">
        <v>293</v>
      </c>
      <c r="J47" s="70" t="s">
        <v>294</v>
      </c>
      <c r="K47" s="72">
        <v>8</v>
      </c>
      <c r="L47" s="72">
        <f t="shared" si="0"/>
        <v>40</v>
      </c>
      <c r="M47" s="72">
        <f t="shared" si="1"/>
        <v>200</v>
      </c>
      <c r="N47" s="72">
        <f t="shared" si="2"/>
        <v>800</v>
      </c>
      <c r="O47" s="72">
        <v>100</v>
      </c>
      <c r="P47" s="72">
        <v>100</v>
      </c>
      <c r="Q47" s="72">
        <v>300</v>
      </c>
      <c r="R47" s="72">
        <v>900</v>
      </c>
      <c r="S47" s="10" t="s">
        <v>38</v>
      </c>
      <c r="T47" s="12">
        <v>1.4E-3</v>
      </c>
      <c r="U47" s="6">
        <f t="shared" si="7"/>
        <v>0.13999999999999999</v>
      </c>
      <c r="V47" s="12">
        <v>1.4E-3</v>
      </c>
      <c r="W47" s="6">
        <f t="shared" si="8"/>
        <v>0.13999999999999999</v>
      </c>
      <c r="X47" s="12">
        <v>1.4E-3</v>
      </c>
      <c r="Y47" s="6">
        <f t="shared" si="9"/>
        <v>0.42</v>
      </c>
      <c r="Z47" s="12">
        <v>1.4E-3</v>
      </c>
      <c r="AA47" s="6">
        <f t="shared" si="10"/>
        <v>1.26</v>
      </c>
      <c r="AB47" s="25"/>
    </row>
    <row r="48" spans="1:28" ht="13.5" thickBot="1">
      <c r="A48" s="106">
        <v>46</v>
      </c>
      <c r="B48" s="110"/>
      <c r="C48" s="69" t="s">
        <v>295</v>
      </c>
      <c r="D48" s="76" t="s">
        <v>296</v>
      </c>
      <c r="E48" s="70" t="s">
        <v>184</v>
      </c>
      <c r="F48" s="97" t="s">
        <v>297</v>
      </c>
      <c r="G48" s="72" t="s">
        <v>60</v>
      </c>
      <c r="H48" s="74" t="s">
        <v>298</v>
      </c>
      <c r="I48" s="74" t="s">
        <v>299</v>
      </c>
      <c r="J48" s="70" t="s">
        <v>300</v>
      </c>
      <c r="K48" s="72">
        <v>1</v>
      </c>
      <c r="L48" s="72">
        <f t="shared" si="0"/>
        <v>5</v>
      </c>
      <c r="M48" s="72">
        <f t="shared" si="1"/>
        <v>25</v>
      </c>
      <c r="N48" s="72">
        <f t="shared" si="2"/>
        <v>100</v>
      </c>
      <c r="O48" s="72">
        <v>100</v>
      </c>
      <c r="P48" s="72">
        <v>100</v>
      </c>
      <c r="Q48" s="72">
        <v>100</v>
      </c>
      <c r="R48" s="72">
        <v>200</v>
      </c>
      <c r="S48" s="10" t="s">
        <v>38</v>
      </c>
      <c r="T48" s="12">
        <v>1.1000000000000001E-3</v>
      </c>
      <c r="U48" s="6">
        <f t="shared" si="7"/>
        <v>0.11</v>
      </c>
      <c r="V48" s="12">
        <v>1.1000000000000001E-3</v>
      </c>
      <c r="W48" s="6">
        <f t="shared" si="8"/>
        <v>0.11</v>
      </c>
      <c r="X48" s="12">
        <v>1.1000000000000001E-3</v>
      </c>
      <c r="Y48" s="6">
        <f t="shared" si="9"/>
        <v>0.11</v>
      </c>
      <c r="Z48" s="12">
        <v>1.1000000000000001E-3</v>
      </c>
      <c r="AA48" s="6">
        <f t="shared" si="10"/>
        <v>0.22</v>
      </c>
      <c r="AB48" s="25" t="s">
        <v>301</v>
      </c>
    </row>
    <row r="49" spans="1:28" ht="13.5" thickBot="1">
      <c r="A49" s="106">
        <v>47</v>
      </c>
      <c r="B49" s="110"/>
      <c r="C49" s="69" t="s">
        <v>302</v>
      </c>
      <c r="D49" s="76" t="s">
        <v>303</v>
      </c>
      <c r="E49" s="70" t="s">
        <v>184</v>
      </c>
      <c r="F49" s="70" t="s">
        <v>304</v>
      </c>
      <c r="G49" s="72" t="s">
        <v>60</v>
      </c>
      <c r="H49" s="70" t="s">
        <v>35</v>
      </c>
      <c r="I49" s="74" t="s">
        <v>305</v>
      </c>
      <c r="J49" s="70" t="s">
        <v>306</v>
      </c>
      <c r="K49" s="72">
        <v>1</v>
      </c>
      <c r="L49" s="72">
        <f t="shared" si="0"/>
        <v>5</v>
      </c>
      <c r="M49" s="72">
        <f t="shared" si="1"/>
        <v>25</v>
      </c>
      <c r="N49" s="72">
        <f t="shared" si="2"/>
        <v>100</v>
      </c>
      <c r="O49" s="72">
        <v>100</v>
      </c>
      <c r="P49" s="72">
        <v>100</v>
      </c>
      <c r="Q49" s="72">
        <v>100</v>
      </c>
      <c r="R49" s="72">
        <v>200</v>
      </c>
      <c r="S49" s="10" t="s">
        <v>38</v>
      </c>
      <c r="T49" s="12">
        <v>1.6999999999999999E-3</v>
      </c>
      <c r="U49" s="6">
        <f t="shared" si="7"/>
        <v>0.16999999999999998</v>
      </c>
      <c r="V49" s="12">
        <v>1.6999999999999999E-3</v>
      </c>
      <c r="W49" s="6">
        <f t="shared" si="8"/>
        <v>0.16999999999999998</v>
      </c>
      <c r="X49" s="12">
        <v>1.6999999999999999E-3</v>
      </c>
      <c r="Y49" s="6">
        <f t="shared" si="9"/>
        <v>0.16999999999999998</v>
      </c>
      <c r="Z49" s="12">
        <v>1.6999999999999999E-3</v>
      </c>
      <c r="AA49" s="6">
        <f t="shared" si="10"/>
        <v>0.33999999999999997</v>
      </c>
      <c r="AB49" s="25"/>
    </row>
    <row r="50" spans="1:28" ht="13.5" thickBot="1">
      <c r="A50" s="106">
        <v>48</v>
      </c>
      <c r="B50" s="110"/>
      <c r="C50" s="69" t="s">
        <v>307</v>
      </c>
      <c r="D50" s="76" t="s">
        <v>308</v>
      </c>
      <c r="E50" s="70" t="s">
        <v>184</v>
      </c>
      <c r="F50" s="97" t="s">
        <v>309</v>
      </c>
      <c r="G50" s="72" t="s">
        <v>310</v>
      </c>
      <c r="H50" s="74" t="s">
        <v>311</v>
      </c>
      <c r="I50" s="74" t="s">
        <v>312</v>
      </c>
      <c r="J50" s="70" t="s">
        <v>313</v>
      </c>
      <c r="K50" s="72">
        <v>1</v>
      </c>
      <c r="L50" s="72">
        <f t="shared" si="0"/>
        <v>5</v>
      </c>
      <c r="M50" s="72">
        <f t="shared" si="1"/>
        <v>25</v>
      </c>
      <c r="N50" s="72">
        <f t="shared" si="2"/>
        <v>100</v>
      </c>
      <c r="O50" s="72">
        <v>100</v>
      </c>
      <c r="P50" s="72">
        <v>100</v>
      </c>
      <c r="Q50" s="72">
        <v>100</v>
      </c>
      <c r="R50" s="72">
        <v>200</v>
      </c>
      <c r="S50" s="10" t="s">
        <v>38</v>
      </c>
      <c r="T50" s="12">
        <v>1.1999999999999999E-3</v>
      </c>
      <c r="U50" s="6">
        <f t="shared" si="7"/>
        <v>0.12</v>
      </c>
      <c r="V50" s="12">
        <v>1.1999999999999999E-3</v>
      </c>
      <c r="W50" s="6">
        <f t="shared" si="8"/>
        <v>0.12</v>
      </c>
      <c r="X50" s="12">
        <v>1.1999999999999999E-3</v>
      </c>
      <c r="Y50" s="6">
        <f t="shared" si="9"/>
        <v>0.12</v>
      </c>
      <c r="Z50" s="12">
        <v>1.1999999999999999E-3</v>
      </c>
      <c r="AA50" s="6">
        <f t="shared" si="10"/>
        <v>0.24</v>
      </c>
      <c r="AB50" s="25"/>
    </row>
    <row r="51" spans="1:28" ht="13.5" thickBot="1">
      <c r="A51" s="106">
        <v>49</v>
      </c>
      <c r="B51" s="110"/>
      <c r="C51" s="69" t="s">
        <v>314</v>
      </c>
      <c r="D51" s="75" t="s">
        <v>315</v>
      </c>
      <c r="E51" s="70" t="s">
        <v>184</v>
      </c>
      <c r="F51" s="70" t="s">
        <v>316</v>
      </c>
      <c r="G51" s="72" t="s">
        <v>60</v>
      </c>
      <c r="H51" s="70" t="s">
        <v>35</v>
      </c>
      <c r="I51" s="74" t="s">
        <v>317</v>
      </c>
      <c r="J51" s="70" t="s">
        <v>318</v>
      </c>
      <c r="K51" s="72">
        <v>1</v>
      </c>
      <c r="L51" s="72">
        <f t="shared" si="0"/>
        <v>5</v>
      </c>
      <c r="M51" s="72">
        <f t="shared" si="1"/>
        <v>25</v>
      </c>
      <c r="N51" s="72">
        <f t="shared" si="2"/>
        <v>100</v>
      </c>
      <c r="O51" s="72">
        <v>100</v>
      </c>
      <c r="P51" s="72">
        <v>100</v>
      </c>
      <c r="Q51" s="72">
        <v>100</v>
      </c>
      <c r="R51" s="72">
        <v>200</v>
      </c>
      <c r="S51" s="10" t="s">
        <v>38</v>
      </c>
      <c r="T51" s="12">
        <v>1.1999999999999999E-3</v>
      </c>
      <c r="U51" s="6">
        <f t="shared" si="7"/>
        <v>0.12</v>
      </c>
      <c r="V51" s="12">
        <v>1.1999999999999999E-3</v>
      </c>
      <c r="W51" s="6">
        <f t="shared" si="8"/>
        <v>0.12</v>
      </c>
      <c r="X51" s="12">
        <v>1.1999999999999999E-3</v>
      </c>
      <c r="Y51" s="6">
        <f t="shared" si="9"/>
        <v>0.12</v>
      </c>
      <c r="Z51" s="12">
        <v>1.1999999999999999E-3</v>
      </c>
      <c r="AA51" s="6">
        <f t="shared" si="10"/>
        <v>0.24</v>
      </c>
      <c r="AB51" s="25"/>
    </row>
    <row r="52" spans="1:28" ht="13.5" thickBot="1">
      <c r="A52" s="106">
        <v>50</v>
      </c>
      <c r="B52" s="110"/>
      <c r="C52" s="69" t="s">
        <v>319</v>
      </c>
      <c r="D52" s="76" t="s">
        <v>320</v>
      </c>
      <c r="E52" s="70" t="s">
        <v>184</v>
      </c>
      <c r="F52" s="70" t="s">
        <v>321</v>
      </c>
      <c r="G52" s="72" t="s">
        <v>310</v>
      </c>
      <c r="H52" s="70" t="s">
        <v>35</v>
      </c>
      <c r="I52" s="74" t="s">
        <v>322</v>
      </c>
      <c r="J52" s="70" t="s">
        <v>323</v>
      </c>
      <c r="K52" s="72">
        <v>1</v>
      </c>
      <c r="L52" s="72">
        <f t="shared" si="0"/>
        <v>5</v>
      </c>
      <c r="M52" s="72">
        <f t="shared" si="1"/>
        <v>25</v>
      </c>
      <c r="N52" s="72">
        <f t="shared" si="2"/>
        <v>100</v>
      </c>
      <c r="O52" s="72">
        <v>50</v>
      </c>
      <c r="P52" s="72">
        <v>50</v>
      </c>
      <c r="Q52" s="72">
        <v>50</v>
      </c>
      <c r="R52" s="72">
        <v>150</v>
      </c>
      <c r="S52" s="10" t="s">
        <v>38</v>
      </c>
      <c r="T52" s="8">
        <v>8.6999999999999994E-3</v>
      </c>
      <c r="U52" s="6">
        <f t="shared" si="7"/>
        <v>0.43499999999999994</v>
      </c>
      <c r="V52" s="8">
        <v>8.6999999999999994E-3</v>
      </c>
      <c r="W52" s="6">
        <f t="shared" si="8"/>
        <v>0.43499999999999994</v>
      </c>
      <c r="X52" s="8">
        <v>8.6999999999999994E-3</v>
      </c>
      <c r="Y52" s="6">
        <f t="shared" si="9"/>
        <v>0.43499999999999994</v>
      </c>
      <c r="Z52" s="8">
        <v>8.6999999999999994E-3</v>
      </c>
      <c r="AA52" s="6">
        <f t="shared" si="10"/>
        <v>1.3049999999999999</v>
      </c>
      <c r="AB52" s="25"/>
    </row>
    <row r="53" spans="1:28" ht="13.5" thickBot="1">
      <c r="A53" s="106">
        <v>51</v>
      </c>
      <c r="B53" s="110"/>
      <c r="C53" s="69" t="s">
        <v>324</v>
      </c>
      <c r="D53" s="76" t="s">
        <v>325</v>
      </c>
      <c r="E53" s="70" t="s">
        <v>184</v>
      </c>
      <c r="F53" s="70" t="s">
        <v>326</v>
      </c>
      <c r="G53" s="72" t="s">
        <v>60</v>
      </c>
      <c r="H53" s="70" t="s">
        <v>35</v>
      </c>
      <c r="I53" s="74" t="s">
        <v>327</v>
      </c>
      <c r="J53" s="70" t="s">
        <v>328</v>
      </c>
      <c r="K53" s="72">
        <v>1</v>
      </c>
      <c r="L53" s="72">
        <f t="shared" si="0"/>
        <v>5</v>
      </c>
      <c r="M53" s="72">
        <f t="shared" si="1"/>
        <v>25</v>
      </c>
      <c r="N53" s="72">
        <f t="shared" si="2"/>
        <v>100</v>
      </c>
      <c r="O53" s="72">
        <v>100</v>
      </c>
      <c r="P53" s="72">
        <v>100</v>
      </c>
      <c r="Q53" s="72">
        <v>100</v>
      </c>
      <c r="R53" s="72">
        <v>200</v>
      </c>
      <c r="S53" s="10" t="s">
        <v>38</v>
      </c>
      <c r="T53" s="12">
        <v>2.2000000000000001E-3</v>
      </c>
      <c r="U53" s="6">
        <f t="shared" si="7"/>
        <v>0.22</v>
      </c>
      <c r="V53" s="12">
        <v>2.2000000000000001E-3</v>
      </c>
      <c r="W53" s="6">
        <f t="shared" si="8"/>
        <v>0.22</v>
      </c>
      <c r="X53" s="12">
        <v>2.2000000000000001E-3</v>
      </c>
      <c r="Y53" s="6">
        <f t="shared" si="9"/>
        <v>0.22</v>
      </c>
      <c r="Z53" s="12">
        <v>2.2000000000000001E-3</v>
      </c>
      <c r="AA53" s="6">
        <f t="shared" si="10"/>
        <v>0.44</v>
      </c>
      <c r="AB53" s="25"/>
    </row>
    <row r="54" spans="1:28" ht="13.5" thickBot="1">
      <c r="A54" s="106">
        <v>52</v>
      </c>
      <c r="B54" s="110"/>
      <c r="C54" s="69" t="s">
        <v>329</v>
      </c>
      <c r="D54" s="76" t="s">
        <v>330</v>
      </c>
      <c r="E54" s="70" t="s">
        <v>184</v>
      </c>
      <c r="F54" s="70" t="s">
        <v>331</v>
      </c>
      <c r="G54" s="72" t="s">
        <v>60</v>
      </c>
      <c r="H54" s="70" t="s">
        <v>35</v>
      </c>
      <c r="I54" s="74" t="s">
        <v>332</v>
      </c>
      <c r="J54" s="70" t="s">
        <v>333</v>
      </c>
      <c r="K54" s="72">
        <v>1</v>
      </c>
      <c r="L54" s="72">
        <f t="shared" si="0"/>
        <v>5</v>
      </c>
      <c r="M54" s="72">
        <f t="shared" si="1"/>
        <v>25</v>
      </c>
      <c r="N54" s="72">
        <f t="shared" si="2"/>
        <v>100</v>
      </c>
      <c r="O54" s="72">
        <v>100</v>
      </c>
      <c r="P54" s="72">
        <v>100</v>
      </c>
      <c r="Q54" s="72">
        <v>100</v>
      </c>
      <c r="R54" s="72">
        <v>200</v>
      </c>
      <c r="S54" s="10" t="s">
        <v>38</v>
      </c>
      <c r="T54" s="12">
        <v>1.5E-3</v>
      </c>
      <c r="U54" s="6">
        <f t="shared" si="7"/>
        <v>0.15</v>
      </c>
      <c r="V54" s="12">
        <v>1.5E-3</v>
      </c>
      <c r="W54" s="6">
        <f t="shared" si="8"/>
        <v>0.15</v>
      </c>
      <c r="X54" s="12">
        <v>1.5E-3</v>
      </c>
      <c r="Y54" s="6">
        <f t="shared" si="9"/>
        <v>0.15</v>
      </c>
      <c r="Z54" s="12">
        <v>1.5E-3</v>
      </c>
      <c r="AA54" s="6">
        <f t="shared" si="10"/>
        <v>0.3</v>
      </c>
      <c r="AB54" s="25"/>
    </row>
    <row r="55" spans="1:28" ht="13.5" thickBot="1">
      <c r="A55" s="106">
        <v>53</v>
      </c>
      <c r="B55" s="110"/>
      <c r="C55" s="69" t="s">
        <v>334</v>
      </c>
      <c r="D55" s="70" t="s">
        <v>335</v>
      </c>
      <c r="E55" s="70" t="s">
        <v>184</v>
      </c>
      <c r="F55" s="70" t="s">
        <v>336</v>
      </c>
      <c r="G55" s="70" t="s">
        <v>60</v>
      </c>
      <c r="H55" s="70" t="s">
        <v>35</v>
      </c>
      <c r="I55" s="71" t="s">
        <v>337</v>
      </c>
      <c r="J55" s="70" t="s">
        <v>338</v>
      </c>
      <c r="K55" s="72">
        <v>1</v>
      </c>
      <c r="L55" s="72">
        <f t="shared" si="0"/>
        <v>5</v>
      </c>
      <c r="M55" s="72">
        <f t="shared" si="1"/>
        <v>25</v>
      </c>
      <c r="N55" s="72">
        <f t="shared" si="2"/>
        <v>100</v>
      </c>
      <c r="O55" s="72">
        <v>50</v>
      </c>
      <c r="P55" s="72">
        <v>50</v>
      </c>
      <c r="Q55" s="72">
        <v>50</v>
      </c>
      <c r="R55" s="72">
        <v>150</v>
      </c>
      <c r="S55" s="10" t="s">
        <v>38</v>
      </c>
      <c r="T55" s="12">
        <v>8.8999999999999999E-3</v>
      </c>
      <c r="U55" s="6">
        <f t="shared" si="7"/>
        <v>0.44500000000000001</v>
      </c>
      <c r="V55" s="12">
        <v>8.8999999999999999E-3</v>
      </c>
      <c r="W55" s="6">
        <f t="shared" si="8"/>
        <v>0.44500000000000001</v>
      </c>
      <c r="X55" s="12">
        <v>8.8999999999999999E-3</v>
      </c>
      <c r="Y55" s="6">
        <f t="shared" si="9"/>
        <v>0.44500000000000001</v>
      </c>
      <c r="Z55" s="12">
        <v>8.8999999999999999E-3</v>
      </c>
      <c r="AA55" s="6">
        <f t="shared" si="10"/>
        <v>1.335</v>
      </c>
      <c r="AB55" s="25"/>
    </row>
    <row r="56" spans="1:28" ht="15.75" thickBot="1">
      <c r="A56" s="106">
        <v>54</v>
      </c>
      <c r="B56" s="110"/>
      <c r="C56" s="69" t="s">
        <v>480</v>
      </c>
      <c r="D56" s="70" t="s">
        <v>339</v>
      </c>
      <c r="E56" s="70" t="s">
        <v>184</v>
      </c>
      <c r="F56" s="70" t="s">
        <v>481</v>
      </c>
      <c r="G56" s="70" t="s">
        <v>60</v>
      </c>
      <c r="H56" s="70" t="s">
        <v>35</v>
      </c>
      <c r="I56" s="74" t="s">
        <v>482</v>
      </c>
      <c r="J56" s="70" t="s">
        <v>479</v>
      </c>
      <c r="K56" s="72">
        <v>1</v>
      </c>
      <c r="L56" s="72">
        <f t="shared" si="0"/>
        <v>5</v>
      </c>
      <c r="M56" s="72">
        <f t="shared" si="1"/>
        <v>25</v>
      </c>
      <c r="N56" s="72">
        <f t="shared" si="2"/>
        <v>100</v>
      </c>
      <c r="O56" s="72">
        <v>100</v>
      </c>
      <c r="P56" s="72">
        <v>100</v>
      </c>
      <c r="Q56" s="72">
        <v>100</v>
      </c>
      <c r="R56" s="72">
        <v>200</v>
      </c>
      <c r="S56" s="64" t="s">
        <v>38</v>
      </c>
      <c r="T56" s="12">
        <v>1.1999999999999999E-3</v>
      </c>
      <c r="U56" s="6">
        <f t="shared" si="7"/>
        <v>0.12</v>
      </c>
      <c r="V56" s="12">
        <v>1.1999999999999999E-3</v>
      </c>
      <c r="W56" s="6">
        <f t="shared" si="8"/>
        <v>0.12</v>
      </c>
      <c r="X56" s="12">
        <v>1.1999999999999999E-3</v>
      </c>
      <c r="Y56" s="6">
        <f t="shared" si="9"/>
        <v>0.12</v>
      </c>
      <c r="Z56" s="12">
        <v>1.1999999999999999E-3</v>
      </c>
      <c r="AA56" s="6">
        <f t="shared" si="10"/>
        <v>0.24</v>
      </c>
      <c r="AB56" s="25"/>
    </row>
    <row r="57" spans="1:28" ht="15.75" thickBot="1">
      <c r="A57" s="106">
        <v>55</v>
      </c>
      <c r="B57" s="110"/>
      <c r="C57" s="69" t="s">
        <v>485</v>
      </c>
      <c r="D57" s="70" t="s">
        <v>342</v>
      </c>
      <c r="E57" s="70" t="s">
        <v>184</v>
      </c>
      <c r="F57" s="70" t="s">
        <v>484</v>
      </c>
      <c r="G57" s="70" t="s">
        <v>60</v>
      </c>
      <c r="H57" s="70" t="s">
        <v>35</v>
      </c>
      <c r="I57" s="74" t="s">
        <v>486</v>
      </c>
      <c r="J57" s="70" t="s">
        <v>483</v>
      </c>
      <c r="K57" s="72">
        <v>1</v>
      </c>
      <c r="L57" s="72">
        <f t="shared" si="0"/>
        <v>5</v>
      </c>
      <c r="M57" s="72">
        <f t="shared" si="1"/>
        <v>25</v>
      </c>
      <c r="N57" s="72">
        <f t="shared" si="2"/>
        <v>100</v>
      </c>
      <c r="O57" s="72">
        <v>100</v>
      </c>
      <c r="P57" s="72">
        <v>100</v>
      </c>
      <c r="Q57" s="72">
        <v>100</v>
      </c>
      <c r="R57" s="72">
        <v>200</v>
      </c>
      <c r="S57" s="64" t="s">
        <v>38</v>
      </c>
      <c r="T57" s="12">
        <v>1.8E-3</v>
      </c>
      <c r="U57" s="6">
        <f t="shared" si="7"/>
        <v>0.18</v>
      </c>
      <c r="V57" s="12">
        <v>1.8E-3</v>
      </c>
      <c r="W57" s="6">
        <f t="shared" si="8"/>
        <v>0.18</v>
      </c>
      <c r="X57" s="12">
        <v>1.8E-3</v>
      </c>
      <c r="Y57" s="6">
        <f t="shared" si="9"/>
        <v>0.18</v>
      </c>
      <c r="Z57" s="12">
        <v>1.8E-3</v>
      </c>
      <c r="AA57" s="6">
        <f t="shared" si="10"/>
        <v>0.36</v>
      </c>
      <c r="AB57" s="25"/>
    </row>
    <row r="58" spans="1:28" ht="13.5" thickBot="1">
      <c r="A58" s="106">
        <v>56</v>
      </c>
      <c r="B58" s="110"/>
      <c r="C58" s="69" t="s">
        <v>343</v>
      </c>
      <c r="D58" s="70" t="s">
        <v>344</v>
      </c>
      <c r="E58" s="70" t="s">
        <v>184</v>
      </c>
      <c r="F58" s="70" t="s">
        <v>345</v>
      </c>
      <c r="G58" s="70" t="s">
        <v>60</v>
      </c>
      <c r="H58" s="70" t="s">
        <v>35</v>
      </c>
      <c r="I58" s="74" t="s">
        <v>346</v>
      </c>
      <c r="J58" s="70" t="s">
        <v>347</v>
      </c>
      <c r="K58" s="72">
        <v>2</v>
      </c>
      <c r="L58" s="72">
        <f t="shared" si="0"/>
        <v>10</v>
      </c>
      <c r="M58" s="72">
        <f t="shared" si="1"/>
        <v>50</v>
      </c>
      <c r="N58" s="72">
        <f t="shared" si="2"/>
        <v>200</v>
      </c>
      <c r="O58" s="72">
        <v>100</v>
      </c>
      <c r="P58" s="72">
        <v>100</v>
      </c>
      <c r="Q58" s="72">
        <v>100</v>
      </c>
      <c r="R58" s="72">
        <v>300</v>
      </c>
      <c r="S58" s="10" t="s">
        <v>38</v>
      </c>
      <c r="T58" s="12">
        <v>1.5E-3</v>
      </c>
      <c r="U58" s="6">
        <f t="shared" si="7"/>
        <v>0.15</v>
      </c>
      <c r="V58" s="12">
        <v>1.5E-3</v>
      </c>
      <c r="W58" s="6">
        <f t="shared" si="8"/>
        <v>0.15</v>
      </c>
      <c r="X58" s="12">
        <v>1.5E-3</v>
      </c>
      <c r="Y58" s="6">
        <f t="shared" si="9"/>
        <v>0.15</v>
      </c>
      <c r="Z58" s="12">
        <v>1.5E-3</v>
      </c>
      <c r="AA58" s="6">
        <f t="shared" si="10"/>
        <v>0.45</v>
      </c>
      <c r="AB58" s="25"/>
    </row>
    <row r="59" spans="1:28" ht="13.5" thickBot="1">
      <c r="A59" s="106">
        <v>57</v>
      </c>
      <c r="B59" s="110"/>
      <c r="C59" s="69" t="s">
        <v>348</v>
      </c>
      <c r="D59" s="70" t="s">
        <v>349</v>
      </c>
      <c r="E59" s="70" t="s">
        <v>184</v>
      </c>
      <c r="F59" s="70" t="s">
        <v>350</v>
      </c>
      <c r="G59" s="70" t="s">
        <v>351</v>
      </c>
      <c r="H59" s="70" t="s">
        <v>35</v>
      </c>
      <c r="I59" s="71" t="s">
        <v>352</v>
      </c>
      <c r="J59" s="70" t="s">
        <v>353</v>
      </c>
      <c r="K59" s="72">
        <v>1</v>
      </c>
      <c r="L59" s="72">
        <f t="shared" si="0"/>
        <v>5</v>
      </c>
      <c r="M59" s="72">
        <f t="shared" si="1"/>
        <v>25</v>
      </c>
      <c r="N59" s="72">
        <f t="shared" si="2"/>
        <v>100</v>
      </c>
      <c r="O59" s="72">
        <v>10</v>
      </c>
      <c r="P59" s="72">
        <v>10</v>
      </c>
      <c r="Q59" s="72">
        <v>30</v>
      </c>
      <c r="R59" s="72">
        <v>110</v>
      </c>
      <c r="S59" s="10" t="s">
        <v>38</v>
      </c>
      <c r="T59" s="8">
        <v>6.5799999999999997E-2</v>
      </c>
      <c r="U59" s="6">
        <f t="shared" si="7"/>
        <v>0.65799999999999992</v>
      </c>
      <c r="V59" s="8">
        <v>6.5799999999999997E-2</v>
      </c>
      <c r="W59" s="6">
        <f t="shared" si="8"/>
        <v>0.65799999999999992</v>
      </c>
      <c r="X59" s="8">
        <v>6.5799999999999997E-2</v>
      </c>
      <c r="Y59" s="6">
        <f t="shared" si="9"/>
        <v>1.974</v>
      </c>
      <c r="Z59" s="8">
        <v>5.5899999999999998E-2</v>
      </c>
      <c r="AA59" s="6">
        <f t="shared" si="10"/>
        <v>6.149</v>
      </c>
      <c r="AB59" s="25"/>
    </row>
    <row r="60" spans="1:28" ht="13.5" thickBot="1">
      <c r="A60" s="106">
        <v>58</v>
      </c>
      <c r="B60" s="110"/>
      <c r="C60" s="69" t="s">
        <v>354</v>
      </c>
      <c r="D60" s="70" t="s">
        <v>355</v>
      </c>
      <c r="E60" s="70" t="s">
        <v>340</v>
      </c>
      <c r="F60" s="70" t="s">
        <v>356</v>
      </c>
      <c r="G60" s="70" t="s">
        <v>60</v>
      </c>
      <c r="H60" s="70" t="s">
        <v>35</v>
      </c>
      <c r="I60" s="74" t="s">
        <v>357</v>
      </c>
      <c r="J60" s="70" t="s">
        <v>358</v>
      </c>
      <c r="K60" s="72">
        <v>1</v>
      </c>
      <c r="L60" s="72">
        <f t="shared" si="0"/>
        <v>5</v>
      </c>
      <c r="M60" s="72">
        <f t="shared" si="1"/>
        <v>25</v>
      </c>
      <c r="N60" s="72">
        <f t="shared" si="2"/>
        <v>100</v>
      </c>
      <c r="O60" s="72">
        <v>100</v>
      </c>
      <c r="P60" s="72">
        <v>100</v>
      </c>
      <c r="Q60" s="72">
        <v>100</v>
      </c>
      <c r="R60" s="72">
        <v>200</v>
      </c>
      <c r="S60" s="10" t="s">
        <v>38</v>
      </c>
      <c r="T60" s="12">
        <v>1.1000000000000001E-3</v>
      </c>
      <c r="U60" s="6">
        <f t="shared" si="7"/>
        <v>0.11</v>
      </c>
      <c r="V60" s="12">
        <v>1.1000000000000001E-3</v>
      </c>
      <c r="W60" s="6">
        <f t="shared" si="8"/>
        <v>0.11</v>
      </c>
      <c r="X60" s="12">
        <v>1.1000000000000001E-3</v>
      </c>
      <c r="Y60" s="6">
        <f t="shared" si="9"/>
        <v>0.11</v>
      </c>
      <c r="Z60" s="12">
        <v>1.1000000000000001E-3</v>
      </c>
      <c r="AA60" s="6">
        <f t="shared" si="10"/>
        <v>0.22</v>
      </c>
      <c r="AB60" s="25"/>
    </row>
    <row r="61" spans="1:28" ht="13.5" thickBot="1">
      <c r="A61" s="106">
        <v>59</v>
      </c>
      <c r="B61" s="110"/>
      <c r="C61" s="69" t="s">
        <v>359</v>
      </c>
      <c r="D61" s="70" t="s">
        <v>360</v>
      </c>
      <c r="E61" s="70" t="s">
        <v>184</v>
      </c>
      <c r="F61" s="70" t="s">
        <v>361</v>
      </c>
      <c r="G61" s="70" t="s">
        <v>351</v>
      </c>
      <c r="H61" s="70" t="s">
        <v>35</v>
      </c>
      <c r="I61" s="74" t="s">
        <v>362</v>
      </c>
      <c r="J61" s="70" t="s">
        <v>363</v>
      </c>
      <c r="K61" s="72">
        <v>1</v>
      </c>
      <c r="L61" s="72">
        <f t="shared" si="0"/>
        <v>5</v>
      </c>
      <c r="M61" s="72">
        <f t="shared" si="1"/>
        <v>25</v>
      </c>
      <c r="N61" s="72">
        <f t="shared" si="2"/>
        <v>100</v>
      </c>
      <c r="O61" s="72">
        <v>50</v>
      </c>
      <c r="P61" s="72">
        <v>50</v>
      </c>
      <c r="Q61" s="72">
        <v>50</v>
      </c>
      <c r="R61" s="72">
        <v>150</v>
      </c>
      <c r="S61" s="10" t="s">
        <v>38</v>
      </c>
      <c r="T61" s="12">
        <v>1.0800000000000001E-2</v>
      </c>
      <c r="U61" s="6">
        <f t="shared" si="7"/>
        <v>0.54</v>
      </c>
      <c r="V61" s="12">
        <v>1.0800000000000001E-2</v>
      </c>
      <c r="W61" s="6">
        <f t="shared" si="8"/>
        <v>0.54</v>
      </c>
      <c r="X61" s="12">
        <v>1.0800000000000001E-2</v>
      </c>
      <c r="Y61" s="6">
        <f t="shared" si="9"/>
        <v>0.54</v>
      </c>
      <c r="Z61" s="12">
        <v>1.0800000000000001E-2</v>
      </c>
      <c r="AA61" s="6">
        <f t="shared" si="10"/>
        <v>1.62</v>
      </c>
      <c r="AB61" s="25"/>
    </row>
    <row r="62" spans="1:28" ht="13.5" thickBot="1">
      <c r="A62" s="106">
        <v>60</v>
      </c>
      <c r="B62" s="110"/>
      <c r="C62" s="69" t="s">
        <v>487</v>
      </c>
      <c r="D62" s="70" t="s">
        <v>364</v>
      </c>
      <c r="E62" s="70" t="s">
        <v>184</v>
      </c>
      <c r="F62" s="70" t="s">
        <v>365</v>
      </c>
      <c r="G62" s="70" t="s">
        <v>366</v>
      </c>
      <c r="H62" s="70" t="s">
        <v>35</v>
      </c>
      <c r="I62" s="74" t="s">
        <v>367</v>
      </c>
      <c r="J62" s="70" t="s">
        <v>368</v>
      </c>
      <c r="K62" s="72">
        <v>1</v>
      </c>
      <c r="L62" s="72">
        <f t="shared" si="0"/>
        <v>5</v>
      </c>
      <c r="M62" s="72">
        <f t="shared" si="1"/>
        <v>25</v>
      </c>
      <c r="N62" s="72">
        <f t="shared" si="2"/>
        <v>100</v>
      </c>
      <c r="O62" s="72">
        <v>100</v>
      </c>
      <c r="P62" s="72">
        <v>100</v>
      </c>
      <c r="Q62" s="72">
        <v>100</v>
      </c>
      <c r="R62" s="72">
        <v>200</v>
      </c>
      <c r="S62" s="10" t="s">
        <v>38</v>
      </c>
      <c r="T62" s="12">
        <v>1.4E-3</v>
      </c>
      <c r="U62" s="6">
        <f t="shared" si="7"/>
        <v>0.13999999999999999</v>
      </c>
      <c r="V62" s="12">
        <v>1.4E-3</v>
      </c>
      <c r="W62" s="6">
        <f t="shared" si="8"/>
        <v>0.13999999999999999</v>
      </c>
      <c r="X62" s="12">
        <v>1.4E-3</v>
      </c>
      <c r="Y62" s="6">
        <f t="shared" si="9"/>
        <v>0.13999999999999999</v>
      </c>
      <c r="Z62" s="12">
        <v>1.4E-3</v>
      </c>
      <c r="AA62" s="6">
        <f t="shared" si="10"/>
        <v>0.27999999999999997</v>
      </c>
      <c r="AB62" s="25"/>
    </row>
    <row r="63" spans="1:28" ht="13.5" thickBot="1">
      <c r="A63" s="106">
        <v>61</v>
      </c>
      <c r="B63" s="110"/>
      <c r="C63" s="69" t="s">
        <v>488</v>
      </c>
      <c r="D63" s="70" t="s">
        <v>369</v>
      </c>
      <c r="E63" s="70" t="s">
        <v>184</v>
      </c>
      <c r="F63" s="70" t="s">
        <v>370</v>
      </c>
      <c r="G63" s="70" t="s">
        <v>371</v>
      </c>
      <c r="H63" s="70" t="s">
        <v>35</v>
      </c>
      <c r="I63" s="71" t="s">
        <v>372</v>
      </c>
      <c r="J63" s="70" t="s">
        <v>373</v>
      </c>
      <c r="K63" s="72">
        <v>1</v>
      </c>
      <c r="L63" s="72">
        <f t="shared" si="0"/>
        <v>5</v>
      </c>
      <c r="M63" s="72">
        <f t="shared" si="1"/>
        <v>25</v>
      </c>
      <c r="N63" s="72">
        <f t="shared" si="2"/>
        <v>100</v>
      </c>
      <c r="O63" s="72">
        <v>50</v>
      </c>
      <c r="P63" s="72">
        <v>50</v>
      </c>
      <c r="Q63" s="72">
        <v>50</v>
      </c>
      <c r="R63" s="72">
        <v>150</v>
      </c>
      <c r="S63" s="10" t="s">
        <v>38</v>
      </c>
      <c r="T63" s="12">
        <v>4.8999999999999998E-3</v>
      </c>
      <c r="U63" s="6">
        <f t="shared" si="7"/>
        <v>0.245</v>
      </c>
      <c r="V63" s="12">
        <v>4.8999999999999998E-3</v>
      </c>
      <c r="W63" s="6">
        <f t="shared" si="8"/>
        <v>0.245</v>
      </c>
      <c r="X63" s="12">
        <v>4.8999999999999998E-3</v>
      </c>
      <c r="Y63" s="6">
        <f t="shared" si="9"/>
        <v>0.245</v>
      </c>
      <c r="Z63" s="12">
        <v>4.8999999999999998E-3</v>
      </c>
      <c r="AA63" s="6">
        <f t="shared" si="10"/>
        <v>0.73499999999999999</v>
      </c>
      <c r="AB63" s="25"/>
    </row>
    <row r="64" spans="1:28" ht="13.5" thickBot="1">
      <c r="A64" s="106">
        <v>62</v>
      </c>
      <c r="B64" s="111"/>
      <c r="C64" s="79" t="s">
        <v>374</v>
      </c>
      <c r="D64" s="80" t="s">
        <v>375</v>
      </c>
      <c r="E64" s="80" t="s">
        <v>184</v>
      </c>
      <c r="F64" s="80" t="s">
        <v>376</v>
      </c>
      <c r="G64" s="80" t="s">
        <v>60</v>
      </c>
      <c r="H64" s="80" t="s">
        <v>35</v>
      </c>
      <c r="I64" s="81" t="s">
        <v>377</v>
      </c>
      <c r="J64" s="80" t="s">
        <v>341</v>
      </c>
      <c r="K64" s="82">
        <v>4</v>
      </c>
      <c r="L64" s="82">
        <f t="shared" si="0"/>
        <v>20</v>
      </c>
      <c r="M64" s="82">
        <f t="shared" si="1"/>
        <v>100</v>
      </c>
      <c r="N64" s="82">
        <f t="shared" si="2"/>
        <v>400</v>
      </c>
      <c r="O64" s="82">
        <v>100</v>
      </c>
      <c r="P64" s="82">
        <v>100</v>
      </c>
      <c r="Q64" s="82">
        <v>100</v>
      </c>
      <c r="R64" s="82">
        <v>500</v>
      </c>
      <c r="S64" s="13" t="s">
        <v>38</v>
      </c>
      <c r="T64" s="14">
        <v>1.2999999999999999E-3</v>
      </c>
      <c r="U64" s="15">
        <f t="shared" si="7"/>
        <v>0.13</v>
      </c>
      <c r="V64" s="14">
        <v>1.2999999999999999E-3</v>
      </c>
      <c r="W64" s="15">
        <f t="shared" si="8"/>
        <v>0.13</v>
      </c>
      <c r="X64" s="14">
        <v>1.2999999999999999E-3</v>
      </c>
      <c r="Y64" s="15">
        <f t="shared" si="9"/>
        <v>0.13</v>
      </c>
      <c r="Z64" s="14">
        <v>1.2999999999999999E-3</v>
      </c>
      <c r="AA64" s="15">
        <f t="shared" si="10"/>
        <v>0.65</v>
      </c>
      <c r="AB64" s="29"/>
    </row>
    <row r="65" spans="1:28" ht="15.75" thickBot="1">
      <c r="A65" s="106">
        <v>63</v>
      </c>
      <c r="B65" s="114" t="s">
        <v>378</v>
      </c>
      <c r="C65" s="88" t="s">
        <v>379</v>
      </c>
      <c r="D65" s="89" t="s">
        <v>380</v>
      </c>
      <c r="E65" s="90" t="s">
        <v>32</v>
      </c>
      <c r="F65" s="90" t="s">
        <v>381</v>
      </c>
      <c r="G65" s="90" t="s">
        <v>382</v>
      </c>
      <c r="H65" s="90" t="s">
        <v>35</v>
      </c>
      <c r="I65" s="90" t="s">
        <v>35</v>
      </c>
      <c r="J65" s="90" t="s">
        <v>383</v>
      </c>
      <c r="K65" s="91">
        <v>1</v>
      </c>
      <c r="L65" s="91">
        <f t="shared" ref="L65:L84" si="11">K65*5</f>
        <v>5</v>
      </c>
      <c r="M65" s="91">
        <f t="shared" ref="M65:M84" si="12">K65*25</f>
        <v>25</v>
      </c>
      <c r="N65" s="91">
        <f t="shared" ref="N65:N84" si="13">K65*100</f>
        <v>100</v>
      </c>
      <c r="O65" s="91">
        <v>50</v>
      </c>
      <c r="P65" s="91">
        <v>50</v>
      </c>
      <c r="Q65" s="91">
        <v>50</v>
      </c>
      <c r="R65" s="91">
        <v>150</v>
      </c>
      <c r="S65" s="22" t="s">
        <v>254</v>
      </c>
      <c r="T65" s="23">
        <v>1.71</v>
      </c>
      <c r="U65" s="23">
        <f t="shared" si="7"/>
        <v>85.5</v>
      </c>
      <c r="V65" s="23">
        <v>1.71</v>
      </c>
      <c r="W65" s="23">
        <f t="shared" si="8"/>
        <v>85.5</v>
      </c>
      <c r="X65" s="23">
        <v>1.71</v>
      </c>
      <c r="Y65" s="23">
        <f t="shared" si="9"/>
        <v>85.5</v>
      </c>
      <c r="Z65" s="23">
        <v>1.71</v>
      </c>
      <c r="AA65" s="23">
        <f t="shared" si="10"/>
        <v>256.5</v>
      </c>
      <c r="AB65" s="47"/>
    </row>
    <row r="66" spans="1:28" ht="15.75" thickBot="1">
      <c r="A66" s="106">
        <v>64</v>
      </c>
      <c r="B66" s="114" t="s">
        <v>384</v>
      </c>
      <c r="C66" s="94" t="s">
        <v>385</v>
      </c>
      <c r="D66" s="95" t="s">
        <v>386</v>
      </c>
      <c r="E66" s="95" t="s">
        <v>32</v>
      </c>
      <c r="F66" s="95" t="s">
        <v>387</v>
      </c>
      <c r="G66" s="95" t="s">
        <v>388</v>
      </c>
      <c r="H66" s="95" t="s">
        <v>35</v>
      </c>
      <c r="I66" s="95" t="s">
        <v>35</v>
      </c>
      <c r="J66" s="95" t="s">
        <v>193</v>
      </c>
      <c r="K66" s="96">
        <v>1</v>
      </c>
      <c r="L66" s="96">
        <f t="shared" si="11"/>
        <v>5</v>
      </c>
      <c r="M66" s="96">
        <f t="shared" si="12"/>
        <v>25</v>
      </c>
      <c r="N66" s="96">
        <f t="shared" si="13"/>
        <v>100</v>
      </c>
      <c r="O66" s="96"/>
      <c r="P66" s="96"/>
      <c r="Q66" s="96"/>
      <c r="R66" s="96"/>
      <c r="S66" s="34"/>
      <c r="T66" s="41"/>
      <c r="U66" s="41">
        <f t="shared" ref="U66:U82" si="14">T66*O66</f>
        <v>0</v>
      </c>
      <c r="V66" s="41"/>
      <c r="W66" s="41">
        <f t="shared" ref="W66:W82" si="15">V66*P66</f>
        <v>0</v>
      </c>
      <c r="X66" s="41"/>
      <c r="Y66" s="41">
        <f t="shared" ref="Y66:Y82" si="16">X66*Q66</f>
        <v>0</v>
      </c>
      <c r="Z66" s="41"/>
      <c r="AA66" s="41">
        <f t="shared" ref="AA66:AA82" si="17">Z66*R66</f>
        <v>0</v>
      </c>
      <c r="AB66" s="48" t="s">
        <v>224</v>
      </c>
    </row>
    <row r="67" spans="1:28" ht="13.5" thickBot="1">
      <c r="A67" s="106">
        <v>65</v>
      </c>
      <c r="B67" s="115" t="s">
        <v>389</v>
      </c>
      <c r="C67" s="66" t="s">
        <v>390</v>
      </c>
      <c r="D67" s="67" t="s">
        <v>391</v>
      </c>
      <c r="E67" s="68" t="s">
        <v>392</v>
      </c>
      <c r="F67" s="67" t="s">
        <v>393</v>
      </c>
      <c r="G67" s="67" t="s">
        <v>394</v>
      </c>
      <c r="H67" s="67" t="s">
        <v>35</v>
      </c>
      <c r="I67" s="67" t="s">
        <v>35</v>
      </c>
      <c r="J67" s="67" t="s">
        <v>193</v>
      </c>
      <c r="K67" s="68">
        <v>1</v>
      </c>
      <c r="L67" s="68">
        <f t="shared" si="11"/>
        <v>5</v>
      </c>
      <c r="M67" s="68">
        <f t="shared" si="12"/>
        <v>25</v>
      </c>
      <c r="N67" s="68">
        <f t="shared" si="13"/>
        <v>100</v>
      </c>
      <c r="O67" s="68">
        <v>14</v>
      </c>
      <c r="P67" s="68">
        <v>14</v>
      </c>
      <c r="Q67" s="68">
        <v>28</v>
      </c>
      <c r="R67" s="68">
        <v>105</v>
      </c>
      <c r="S67" s="16" t="s">
        <v>395</v>
      </c>
      <c r="T67" s="17">
        <v>3.7080000000000002</v>
      </c>
      <c r="U67" s="5">
        <f t="shared" si="14"/>
        <v>51.912000000000006</v>
      </c>
      <c r="V67" s="17">
        <v>3.7080000000000002</v>
      </c>
      <c r="W67" s="5">
        <f t="shared" si="15"/>
        <v>51.912000000000006</v>
      </c>
      <c r="X67" s="17">
        <v>3.7080000000000002</v>
      </c>
      <c r="Y67" s="5">
        <f t="shared" si="16"/>
        <v>103.82400000000001</v>
      </c>
      <c r="Z67" s="17">
        <v>2.8210000000000002</v>
      </c>
      <c r="AA67" s="5">
        <f t="shared" si="17"/>
        <v>296.20500000000004</v>
      </c>
      <c r="AB67" s="33"/>
    </row>
    <row r="68" spans="1:28" ht="13.5" thickBot="1">
      <c r="A68" s="106">
        <v>66</v>
      </c>
      <c r="B68" s="116"/>
      <c r="C68" s="69" t="s">
        <v>396</v>
      </c>
      <c r="D68" s="70" t="s">
        <v>397</v>
      </c>
      <c r="E68" s="70" t="s">
        <v>398</v>
      </c>
      <c r="F68" s="70" t="s">
        <v>399</v>
      </c>
      <c r="G68" s="70" t="s">
        <v>394</v>
      </c>
      <c r="H68" s="70" t="s">
        <v>35</v>
      </c>
      <c r="I68" s="70" t="s">
        <v>35</v>
      </c>
      <c r="J68" s="70" t="s">
        <v>193</v>
      </c>
      <c r="K68" s="72">
        <v>1</v>
      </c>
      <c r="L68" s="72">
        <f t="shared" si="11"/>
        <v>5</v>
      </c>
      <c r="M68" s="72">
        <f t="shared" si="12"/>
        <v>25</v>
      </c>
      <c r="N68" s="72">
        <f t="shared" si="13"/>
        <v>100</v>
      </c>
      <c r="O68" s="72">
        <v>3</v>
      </c>
      <c r="P68" s="72">
        <v>7</v>
      </c>
      <c r="Q68" s="72">
        <v>28</v>
      </c>
      <c r="R68" s="72">
        <v>105</v>
      </c>
      <c r="S68" s="11" t="s">
        <v>254</v>
      </c>
      <c r="T68" s="12">
        <v>2.0299999999999998</v>
      </c>
      <c r="U68" s="42">
        <f t="shared" si="14"/>
        <v>6.09</v>
      </c>
      <c r="V68" s="12">
        <v>2.0299999999999998</v>
      </c>
      <c r="W68" s="42">
        <f t="shared" si="15"/>
        <v>14.209999999999999</v>
      </c>
      <c r="X68" s="12">
        <v>2.0299999999999998</v>
      </c>
      <c r="Y68" s="42">
        <f t="shared" si="16"/>
        <v>56.839999999999996</v>
      </c>
      <c r="Z68" s="12">
        <v>2.0299999999999998</v>
      </c>
      <c r="AA68" s="42">
        <f t="shared" si="17"/>
        <v>213.14999999999998</v>
      </c>
      <c r="AB68" s="50"/>
    </row>
    <row r="69" spans="1:28" ht="13.5" thickBot="1">
      <c r="A69" s="106">
        <v>67</v>
      </c>
      <c r="B69" s="116"/>
      <c r="C69" s="69" t="s">
        <v>400</v>
      </c>
      <c r="D69" s="75" t="s">
        <v>401</v>
      </c>
      <c r="E69" s="70" t="s">
        <v>402</v>
      </c>
      <c r="F69" s="70" t="s">
        <v>403</v>
      </c>
      <c r="G69" s="72" t="s">
        <v>404</v>
      </c>
      <c r="H69" s="70" t="s">
        <v>35</v>
      </c>
      <c r="I69" s="70" t="s">
        <v>35</v>
      </c>
      <c r="J69" s="70" t="s">
        <v>383</v>
      </c>
      <c r="K69" s="72">
        <v>1</v>
      </c>
      <c r="L69" s="72">
        <f t="shared" si="11"/>
        <v>5</v>
      </c>
      <c r="M69" s="72">
        <f t="shared" si="12"/>
        <v>25</v>
      </c>
      <c r="N69" s="72">
        <f t="shared" si="13"/>
        <v>100</v>
      </c>
      <c r="O69" s="72">
        <v>3</v>
      </c>
      <c r="P69" s="72">
        <v>7</v>
      </c>
      <c r="Q69" s="72">
        <v>28</v>
      </c>
      <c r="R69" s="72">
        <v>105</v>
      </c>
      <c r="S69" s="11" t="s">
        <v>254</v>
      </c>
      <c r="T69" s="12">
        <v>4.04</v>
      </c>
      <c r="U69" s="42">
        <f t="shared" si="14"/>
        <v>12.120000000000001</v>
      </c>
      <c r="V69" s="12">
        <v>4.04</v>
      </c>
      <c r="W69" s="42">
        <f t="shared" si="15"/>
        <v>28.28</v>
      </c>
      <c r="X69" s="12">
        <v>4.04</v>
      </c>
      <c r="Y69" s="42">
        <f t="shared" si="16"/>
        <v>113.12</v>
      </c>
      <c r="Z69" s="12">
        <v>4.04</v>
      </c>
      <c r="AA69" s="42">
        <f t="shared" si="17"/>
        <v>424.2</v>
      </c>
      <c r="AB69" s="50"/>
    </row>
    <row r="70" spans="1:28" ht="13.5" thickBot="1">
      <c r="A70" s="106">
        <v>68</v>
      </c>
      <c r="B70" s="116"/>
      <c r="C70" s="69" t="s">
        <v>405</v>
      </c>
      <c r="D70" s="70" t="s">
        <v>406</v>
      </c>
      <c r="E70" s="72" t="s">
        <v>407</v>
      </c>
      <c r="F70" s="70" t="s">
        <v>408</v>
      </c>
      <c r="G70" s="70" t="s">
        <v>394</v>
      </c>
      <c r="H70" s="70" t="s">
        <v>35</v>
      </c>
      <c r="I70" s="70" t="s">
        <v>35</v>
      </c>
      <c r="J70" s="70" t="s">
        <v>193</v>
      </c>
      <c r="K70" s="72">
        <v>1</v>
      </c>
      <c r="L70" s="72">
        <f t="shared" si="11"/>
        <v>5</v>
      </c>
      <c r="M70" s="72">
        <f t="shared" si="12"/>
        <v>25</v>
      </c>
      <c r="N70" s="72">
        <f t="shared" si="13"/>
        <v>100</v>
      </c>
      <c r="O70" s="72">
        <v>5</v>
      </c>
      <c r="P70" s="72">
        <v>10</v>
      </c>
      <c r="Q70" s="72">
        <v>30</v>
      </c>
      <c r="R70" s="72">
        <v>105</v>
      </c>
      <c r="S70" s="19" t="s">
        <v>254</v>
      </c>
      <c r="T70" s="42">
        <v>1.246</v>
      </c>
      <c r="U70" s="42">
        <f t="shared" si="14"/>
        <v>6.23</v>
      </c>
      <c r="V70" s="42">
        <v>1.246</v>
      </c>
      <c r="W70" s="42">
        <f t="shared" si="15"/>
        <v>12.46</v>
      </c>
      <c r="X70" s="42">
        <v>1.246</v>
      </c>
      <c r="Y70" s="42">
        <f t="shared" si="16"/>
        <v>37.380000000000003</v>
      </c>
      <c r="Z70" s="42">
        <v>1.246</v>
      </c>
      <c r="AA70" s="42">
        <f t="shared" si="17"/>
        <v>130.83000000000001</v>
      </c>
      <c r="AB70" s="50"/>
    </row>
    <row r="71" spans="1:28" ht="13.5" thickBot="1">
      <c r="A71" s="106">
        <v>69</v>
      </c>
      <c r="B71" s="116"/>
      <c r="C71" s="69" t="s">
        <v>409</v>
      </c>
      <c r="D71" s="70" t="s">
        <v>410</v>
      </c>
      <c r="E71" s="70" t="s">
        <v>411</v>
      </c>
      <c r="F71" s="70" t="s">
        <v>412</v>
      </c>
      <c r="G71" s="70" t="s">
        <v>394</v>
      </c>
      <c r="H71" s="70" t="s">
        <v>35</v>
      </c>
      <c r="I71" s="74" t="s">
        <v>413</v>
      </c>
      <c r="J71" s="70" t="s">
        <v>193</v>
      </c>
      <c r="K71" s="72">
        <v>1</v>
      </c>
      <c r="L71" s="72">
        <f t="shared" si="11"/>
        <v>5</v>
      </c>
      <c r="M71" s="72">
        <f t="shared" si="12"/>
        <v>25</v>
      </c>
      <c r="N71" s="72">
        <f t="shared" si="13"/>
        <v>100</v>
      </c>
      <c r="O71" s="72">
        <v>3</v>
      </c>
      <c r="P71" s="72">
        <v>7</v>
      </c>
      <c r="Q71" s="72">
        <v>28</v>
      </c>
      <c r="R71" s="72">
        <v>105</v>
      </c>
      <c r="S71" s="11" t="s">
        <v>38</v>
      </c>
      <c r="T71" s="12">
        <v>0.54100000000000004</v>
      </c>
      <c r="U71" s="42">
        <f t="shared" si="14"/>
        <v>1.6230000000000002</v>
      </c>
      <c r="V71" s="12">
        <v>0.54100000000000004</v>
      </c>
      <c r="W71" s="42">
        <f t="shared" si="15"/>
        <v>3.7870000000000004</v>
      </c>
      <c r="X71" s="12">
        <v>0.44</v>
      </c>
      <c r="Y71" s="42">
        <f t="shared" si="16"/>
        <v>12.32</v>
      </c>
      <c r="Z71" s="12">
        <v>0.30480000000000002</v>
      </c>
      <c r="AA71" s="42">
        <f t="shared" si="17"/>
        <v>32.004000000000005</v>
      </c>
      <c r="AB71" s="50"/>
    </row>
    <row r="72" spans="1:28" ht="13.5" thickBot="1">
      <c r="A72" s="106">
        <v>70</v>
      </c>
      <c r="B72" s="116"/>
      <c r="C72" s="69" t="s">
        <v>414</v>
      </c>
      <c r="D72" s="76" t="s">
        <v>415</v>
      </c>
      <c r="E72" s="70" t="s">
        <v>416</v>
      </c>
      <c r="F72" s="70" t="s">
        <v>417</v>
      </c>
      <c r="G72" s="72"/>
      <c r="H72" s="70" t="s">
        <v>35</v>
      </c>
      <c r="I72" s="70" t="s">
        <v>35</v>
      </c>
      <c r="J72" s="70" t="s">
        <v>383</v>
      </c>
      <c r="K72" s="72">
        <v>1</v>
      </c>
      <c r="L72" s="72">
        <f t="shared" si="11"/>
        <v>5</v>
      </c>
      <c r="M72" s="72">
        <f t="shared" si="12"/>
        <v>25</v>
      </c>
      <c r="N72" s="72">
        <f t="shared" si="13"/>
        <v>100</v>
      </c>
      <c r="O72" s="72">
        <v>3</v>
      </c>
      <c r="P72" s="72">
        <v>7</v>
      </c>
      <c r="Q72" s="72">
        <v>28</v>
      </c>
      <c r="R72" s="72">
        <v>105</v>
      </c>
      <c r="S72" s="11" t="s">
        <v>254</v>
      </c>
      <c r="T72" s="42">
        <v>8</v>
      </c>
      <c r="U72" s="42">
        <f t="shared" si="14"/>
        <v>24</v>
      </c>
      <c r="V72" s="42">
        <v>8</v>
      </c>
      <c r="W72" s="42">
        <f t="shared" si="15"/>
        <v>56</v>
      </c>
      <c r="X72" s="42">
        <v>8</v>
      </c>
      <c r="Y72" s="42">
        <f t="shared" si="16"/>
        <v>224</v>
      </c>
      <c r="Z72" s="42">
        <v>8</v>
      </c>
      <c r="AA72" s="42">
        <f t="shared" si="17"/>
        <v>840</v>
      </c>
      <c r="AB72" s="50"/>
    </row>
    <row r="73" spans="1:28" ht="13.5" thickBot="1">
      <c r="A73" s="106">
        <v>71</v>
      </c>
      <c r="B73" s="116"/>
      <c r="C73" s="69" t="s">
        <v>418</v>
      </c>
      <c r="D73" s="76" t="s">
        <v>419</v>
      </c>
      <c r="E73" s="70" t="s">
        <v>420</v>
      </c>
      <c r="F73" s="70" t="s">
        <v>421</v>
      </c>
      <c r="G73" s="72" t="s">
        <v>422</v>
      </c>
      <c r="H73" s="70" t="s">
        <v>35</v>
      </c>
      <c r="I73" s="70" t="s">
        <v>35</v>
      </c>
      <c r="J73" s="70" t="s">
        <v>383</v>
      </c>
      <c r="K73" s="72">
        <v>1</v>
      </c>
      <c r="L73" s="72">
        <f t="shared" si="11"/>
        <v>5</v>
      </c>
      <c r="M73" s="72">
        <f t="shared" si="12"/>
        <v>25</v>
      </c>
      <c r="N73" s="72">
        <f t="shared" si="13"/>
        <v>100</v>
      </c>
      <c r="O73" s="72">
        <v>10</v>
      </c>
      <c r="P73" s="72">
        <v>10</v>
      </c>
      <c r="Q73" s="72">
        <v>30</v>
      </c>
      <c r="R73" s="72">
        <v>110</v>
      </c>
      <c r="S73" s="11" t="s">
        <v>254</v>
      </c>
      <c r="T73" s="42">
        <v>0.86199999999999999</v>
      </c>
      <c r="U73" s="42">
        <f t="shared" si="14"/>
        <v>8.6199999999999992</v>
      </c>
      <c r="V73" s="42">
        <v>0.86199999999999999</v>
      </c>
      <c r="W73" s="42">
        <f t="shared" si="15"/>
        <v>8.6199999999999992</v>
      </c>
      <c r="X73" s="42">
        <v>0.86199999999999999</v>
      </c>
      <c r="Y73" s="42">
        <f t="shared" si="16"/>
        <v>25.86</v>
      </c>
      <c r="Z73" s="42">
        <v>0.86199999999999999</v>
      </c>
      <c r="AA73" s="42">
        <f t="shared" si="17"/>
        <v>94.82</v>
      </c>
      <c r="AB73" s="50"/>
    </row>
    <row r="74" spans="1:28" ht="13.5" thickBot="1">
      <c r="A74" s="106">
        <v>72</v>
      </c>
      <c r="B74" s="116"/>
      <c r="C74" s="69" t="s">
        <v>423</v>
      </c>
      <c r="D74" s="70" t="s">
        <v>424</v>
      </c>
      <c r="E74" s="72" t="s">
        <v>425</v>
      </c>
      <c r="F74" s="70" t="s">
        <v>426</v>
      </c>
      <c r="G74" s="70" t="s">
        <v>394</v>
      </c>
      <c r="H74" s="70" t="s">
        <v>35</v>
      </c>
      <c r="I74" s="70" t="s">
        <v>35</v>
      </c>
      <c r="J74" s="70" t="s">
        <v>193</v>
      </c>
      <c r="K74" s="72">
        <v>1</v>
      </c>
      <c r="L74" s="72">
        <f t="shared" si="11"/>
        <v>5</v>
      </c>
      <c r="M74" s="72">
        <f t="shared" si="12"/>
        <v>25</v>
      </c>
      <c r="N74" s="72">
        <f t="shared" si="13"/>
        <v>100</v>
      </c>
      <c r="O74" s="72">
        <v>10</v>
      </c>
      <c r="P74" s="72">
        <v>10</v>
      </c>
      <c r="Q74" s="72">
        <v>30</v>
      </c>
      <c r="R74" s="72">
        <v>110</v>
      </c>
      <c r="S74" s="19" t="s">
        <v>254</v>
      </c>
      <c r="T74" s="42">
        <v>5.6280000000000001</v>
      </c>
      <c r="U74" s="42">
        <f t="shared" si="14"/>
        <v>56.28</v>
      </c>
      <c r="V74" s="42">
        <v>5.6280000000000001</v>
      </c>
      <c r="W74" s="42">
        <f t="shared" si="15"/>
        <v>56.28</v>
      </c>
      <c r="X74" s="42">
        <v>5.6280000000000001</v>
      </c>
      <c r="Y74" s="42">
        <f t="shared" si="16"/>
        <v>168.84</v>
      </c>
      <c r="Z74" s="42">
        <v>5.6280000000000001</v>
      </c>
      <c r="AA74" s="42">
        <f t="shared" si="17"/>
        <v>619.08000000000004</v>
      </c>
      <c r="AB74" s="50"/>
    </row>
    <row r="75" spans="1:28" ht="13.5" thickBot="1">
      <c r="A75" s="106">
        <v>73</v>
      </c>
      <c r="B75" s="116"/>
      <c r="C75" s="69" t="s">
        <v>427</v>
      </c>
      <c r="D75" s="70" t="s">
        <v>428</v>
      </c>
      <c r="E75" s="72" t="s">
        <v>429</v>
      </c>
      <c r="F75" s="70" t="s">
        <v>430</v>
      </c>
      <c r="G75" s="70" t="s">
        <v>431</v>
      </c>
      <c r="H75" s="70" t="s">
        <v>35</v>
      </c>
      <c r="I75" s="70" t="s">
        <v>35</v>
      </c>
      <c r="J75" s="70" t="s">
        <v>193</v>
      </c>
      <c r="K75" s="72">
        <v>1</v>
      </c>
      <c r="L75" s="72">
        <f t="shared" si="11"/>
        <v>5</v>
      </c>
      <c r="M75" s="72">
        <f t="shared" si="12"/>
        <v>25</v>
      </c>
      <c r="N75" s="72">
        <f t="shared" si="13"/>
        <v>100</v>
      </c>
      <c r="O75" s="72">
        <v>2</v>
      </c>
      <c r="P75" s="72">
        <v>8</v>
      </c>
      <c r="Q75" s="72">
        <v>28</v>
      </c>
      <c r="R75" s="72">
        <v>104</v>
      </c>
      <c r="S75" s="7" t="s">
        <v>254</v>
      </c>
      <c r="T75" s="42">
        <v>3</v>
      </c>
      <c r="U75" s="42">
        <f t="shared" si="14"/>
        <v>6</v>
      </c>
      <c r="V75" s="42">
        <v>3</v>
      </c>
      <c r="W75" s="42">
        <f t="shared" si="15"/>
        <v>24</v>
      </c>
      <c r="X75" s="42">
        <v>3</v>
      </c>
      <c r="Y75" s="42">
        <f t="shared" si="16"/>
        <v>84</v>
      </c>
      <c r="Z75" s="42">
        <v>3</v>
      </c>
      <c r="AA75" s="42">
        <f t="shared" si="17"/>
        <v>312</v>
      </c>
      <c r="AB75" s="50"/>
    </row>
    <row r="76" spans="1:28" ht="13.5" thickBot="1">
      <c r="A76" s="106">
        <v>74</v>
      </c>
      <c r="B76" s="117"/>
      <c r="C76" s="79" t="s">
        <v>432</v>
      </c>
      <c r="D76" s="80" t="s">
        <v>433</v>
      </c>
      <c r="E76" s="82" t="s">
        <v>434</v>
      </c>
      <c r="F76" s="80" t="s">
        <v>435</v>
      </c>
      <c r="G76" s="80" t="s">
        <v>394</v>
      </c>
      <c r="H76" s="80" t="s">
        <v>35</v>
      </c>
      <c r="I76" s="83" t="s">
        <v>436</v>
      </c>
      <c r="J76" s="80" t="s">
        <v>193</v>
      </c>
      <c r="K76" s="82">
        <v>1</v>
      </c>
      <c r="L76" s="82">
        <f t="shared" si="11"/>
        <v>5</v>
      </c>
      <c r="M76" s="82">
        <f t="shared" si="12"/>
        <v>25</v>
      </c>
      <c r="N76" s="82">
        <f t="shared" si="13"/>
        <v>100</v>
      </c>
      <c r="O76" s="82">
        <v>3</v>
      </c>
      <c r="P76" s="82">
        <v>7</v>
      </c>
      <c r="Q76" s="82">
        <v>28</v>
      </c>
      <c r="R76" s="82">
        <v>105</v>
      </c>
      <c r="S76" s="43" t="s">
        <v>38</v>
      </c>
      <c r="T76" s="21">
        <v>0.58609999999999995</v>
      </c>
      <c r="U76" s="15">
        <f t="shared" si="14"/>
        <v>1.7582999999999998</v>
      </c>
      <c r="V76" s="21">
        <v>0.58609999999999995</v>
      </c>
      <c r="W76" s="15">
        <f t="shared" si="15"/>
        <v>4.1026999999999996</v>
      </c>
      <c r="X76" s="21">
        <v>0.50139999999999996</v>
      </c>
      <c r="Y76" s="15">
        <f t="shared" si="16"/>
        <v>14.039199999999999</v>
      </c>
      <c r="Z76" s="21">
        <v>0.39140000000000003</v>
      </c>
      <c r="AA76" s="15">
        <f t="shared" si="17"/>
        <v>41.097000000000001</v>
      </c>
      <c r="AB76" s="29"/>
    </row>
    <row r="77" spans="1:28" ht="13.5" thickBot="1">
      <c r="A77" s="106">
        <v>75</v>
      </c>
      <c r="B77" s="112" t="s">
        <v>437</v>
      </c>
      <c r="C77" s="66" t="s">
        <v>438</v>
      </c>
      <c r="D77" s="67" t="s">
        <v>439</v>
      </c>
      <c r="E77" s="67" t="s">
        <v>32</v>
      </c>
      <c r="F77" s="67" t="s">
        <v>440</v>
      </c>
      <c r="G77" s="68" t="s">
        <v>441</v>
      </c>
      <c r="H77" s="67" t="s">
        <v>35</v>
      </c>
      <c r="I77" s="93" t="s">
        <v>442</v>
      </c>
      <c r="J77" s="67" t="s">
        <v>383</v>
      </c>
      <c r="K77" s="68">
        <v>1</v>
      </c>
      <c r="L77" s="68">
        <f t="shared" si="11"/>
        <v>5</v>
      </c>
      <c r="M77" s="68">
        <f t="shared" si="12"/>
        <v>25</v>
      </c>
      <c r="N77" s="68">
        <f t="shared" si="13"/>
        <v>100</v>
      </c>
      <c r="O77" s="68">
        <v>3</v>
      </c>
      <c r="P77" s="68">
        <v>7</v>
      </c>
      <c r="Q77" s="68">
        <v>28</v>
      </c>
      <c r="R77" s="68">
        <v>105</v>
      </c>
      <c r="S77" s="16" t="s">
        <v>38</v>
      </c>
      <c r="T77" s="17">
        <v>2.0991</v>
      </c>
      <c r="U77" s="5">
        <f t="shared" si="14"/>
        <v>6.2972999999999999</v>
      </c>
      <c r="V77" s="17">
        <v>2.0991</v>
      </c>
      <c r="W77" s="5">
        <f t="shared" si="15"/>
        <v>14.6937</v>
      </c>
      <c r="X77" s="17">
        <v>1.7022999999999999</v>
      </c>
      <c r="Y77" s="5">
        <f t="shared" si="16"/>
        <v>47.664400000000001</v>
      </c>
      <c r="Z77" s="17">
        <v>1.0833999999999999</v>
      </c>
      <c r="AA77" s="5">
        <f t="shared" si="17"/>
        <v>113.75699999999999</v>
      </c>
      <c r="AB77" s="24"/>
    </row>
    <row r="78" spans="1:28" ht="13.5" thickBot="1">
      <c r="A78" s="106">
        <v>76</v>
      </c>
      <c r="B78" s="110"/>
      <c r="C78" s="69" t="s">
        <v>443</v>
      </c>
      <c r="D78" s="70" t="s">
        <v>444</v>
      </c>
      <c r="E78" s="70" t="s">
        <v>32</v>
      </c>
      <c r="F78" s="70" t="s">
        <v>445</v>
      </c>
      <c r="G78" s="72" t="s">
        <v>446</v>
      </c>
      <c r="H78" s="70" t="s">
        <v>35</v>
      </c>
      <c r="I78" s="70" t="s">
        <v>35</v>
      </c>
      <c r="J78" s="70" t="s">
        <v>383</v>
      </c>
      <c r="K78" s="72">
        <v>2</v>
      </c>
      <c r="L78" s="72">
        <f t="shared" si="11"/>
        <v>10</v>
      </c>
      <c r="M78" s="72">
        <f t="shared" si="12"/>
        <v>50</v>
      </c>
      <c r="N78" s="72">
        <f t="shared" si="13"/>
        <v>200</v>
      </c>
      <c r="O78" s="72">
        <v>20</v>
      </c>
      <c r="P78" s="72">
        <v>20</v>
      </c>
      <c r="Q78" s="72">
        <v>60</v>
      </c>
      <c r="R78" s="72">
        <v>220</v>
      </c>
      <c r="S78" s="11" t="s">
        <v>447</v>
      </c>
      <c r="T78" s="12">
        <v>1.53</v>
      </c>
      <c r="U78" s="42">
        <f t="shared" si="14"/>
        <v>30.6</v>
      </c>
      <c r="V78" s="12">
        <v>1.53</v>
      </c>
      <c r="W78" s="42">
        <f t="shared" si="15"/>
        <v>30.6</v>
      </c>
      <c r="X78" s="12">
        <v>1.53</v>
      </c>
      <c r="Y78" s="42">
        <f t="shared" si="16"/>
        <v>91.8</v>
      </c>
      <c r="Z78" s="12">
        <v>1.34</v>
      </c>
      <c r="AA78" s="42">
        <f>Z78*R78</f>
        <v>294.8</v>
      </c>
      <c r="AB78" s="50"/>
    </row>
    <row r="79" spans="1:28" ht="13.5" thickBot="1">
      <c r="A79" s="106">
        <v>77</v>
      </c>
      <c r="B79" s="110"/>
      <c r="C79" s="69" t="s">
        <v>448</v>
      </c>
      <c r="D79" s="70" t="s">
        <v>449</v>
      </c>
      <c r="E79" s="70" t="s">
        <v>32</v>
      </c>
      <c r="F79" s="70" t="s">
        <v>450</v>
      </c>
      <c r="G79" s="70" t="s">
        <v>451</v>
      </c>
      <c r="H79" s="70" t="s">
        <v>35</v>
      </c>
      <c r="I79" s="70" t="s">
        <v>35</v>
      </c>
      <c r="J79" s="72"/>
      <c r="K79" s="72">
        <v>1</v>
      </c>
      <c r="L79" s="72">
        <f t="shared" si="11"/>
        <v>5</v>
      </c>
      <c r="M79" s="72">
        <f t="shared" si="12"/>
        <v>25</v>
      </c>
      <c r="N79" s="72">
        <f t="shared" si="13"/>
        <v>100</v>
      </c>
      <c r="O79" s="72">
        <v>2</v>
      </c>
      <c r="P79" s="72">
        <v>8</v>
      </c>
      <c r="Q79" s="72">
        <v>30</v>
      </c>
      <c r="R79" s="72">
        <v>110</v>
      </c>
      <c r="S79" s="61" t="s">
        <v>478</v>
      </c>
      <c r="T79" s="42">
        <v>1.69</v>
      </c>
      <c r="U79" s="42">
        <f t="shared" si="14"/>
        <v>3.38</v>
      </c>
      <c r="V79" s="42">
        <v>1.69</v>
      </c>
      <c r="W79" s="42">
        <f t="shared" si="15"/>
        <v>13.52</v>
      </c>
      <c r="X79" s="42">
        <v>1.69</v>
      </c>
      <c r="Y79" s="42">
        <f t="shared" si="16"/>
        <v>50.699999999999996</v>
      </c>
      <c r="Z79" s="42">
        <v>1.69</v>
      </c>
      <c r="AA79" s="42">
        <f>Z79*R79</f>
        <v>185.9</v>
      </c>
      <c r="AB79" s="50"/>
    </row>
    <row r="80" spans="1:28" ht="13.5" thickBot="1">
      <c r="A80" s="106">
        <v>78</v>
      </c>
      <c r="B80" s="110"/>
      <c r="C80" s="77" t="s">
        <v>452</v>
      </c>
      <c r="D80" s="76" t="s">
        <v>453</v>
      </c>
      <c r="E80" s="76" t="s">
        <v>32</v>
      </c>
      <c r="F80" s="76" t="s">
        <v>454</v>
      </c>
      <c r="G80" s="75" t="s">
        <v>455</v>
      </c>
      <c r="H80" s="70" t="s">
        <v>35</v>
      </c>
      <c r="I80" s="74" t="s">
        <v>456</v>
      </c>
      <c r="J80" s="76" t="s">
        <v>383</v>
      </c>
      <c r="K80" s="75">
        <v>1</v>
      </c>
      <c r="L80" s="72">
        <f t="shared" si="11"/>
        <v>5</v>
      </c>
      <c r="M80" s="72">
        <f t="shared" si="12"/>
        <v>25</v>
      </c>
      <c r="N80" s="72">
        <f t="shared" si="13"/>
        <v>100</v>
      </c>
      <c r="O80" s="72">
        <v>10</v>
      </c>
      <c r="P80" s="72">
        <v>10</v>
      </c>
      <c r="Q80" s="72">
        <v>30</v>
      </c>
      <c r="R80" s="72">
        <v>110</v>
      </c>
      <c r="S80" s="11" t="s">
        <v>38</v>
      </c>
      <c r="T80" s="12">
        <v>5.3999999999999999E-2</v>
      </c>
      <c r="U80" s="42">
        <f t="shared" si="14"/>
        <v>0.54</v>
      </c>
      <c r="V80" s="12">
        <v>5.3999999999999999E-2</v>
      </c>
      <c r="W80" s="42">
        <f t="shared" si="15"/>
        <v>0.54</v>
      </c>
      <c r="X80" s="12">
        <v>5.3999999999999999E-2</v>
      </c>
      <c r="Y80" s="42">
        <f t="shared" si="16"/>
        <v>1.6199999999999999</v>
      </c>
      <c r="Z80" s="12">
        <v>4.53E-2</v>
      </c>
      <c r="AA80" s="42">
        <f t="shared" si="17"/>
        <v>4.9829999999999997</v>
      </c>
      <c r="AB80" s="49"/>
    </row>
    <row r="81" spans="1:28" ht="13.5" thickBot="1">
      <c r="A81" s="106">
        <v>79</v>
      </c>
      <c r="B81" s="110"/>
      <c r="C81" s="69" t="s">
        <v>457</v>
      </c>
      <c r="D81" s="70" t="s">
        <v>458</v>
      </c>
      <c r="E81" s="70" t="s">
        <v>32</v>
      </c>
      <c r="F81" s="70" t="s">
        <v>459</v>
      </c>
      <c r="G81" s="72" t="s">
        <v>460</v>
      </c>
      <c r="H81" s="70" t="s">
        <v>35</v>
      </c>
      <c r="I81" s="70" t="s">
        <v>35</v>
      </c>
      <c r="J81" s="70" t="s">
        <v>383</v>
      </c>
      <c r="K81" s="72">
        <v>2</v>
      </c>
      <c r="L81" s="72">
        <f t="shared" si="11"/>
        <v>10</v>
      </c>
      <c r="M81" s="72">
        <f t="shared" si="12"/>
        <v>50</v>
      </c>
      <c r="N81" s="72">
        <f t="shared" si="13"/>
        <v>200</v>
      </c>
      <c r="O81" s="72">
        <v>10</v>
      </c>
      <c r="P81" s="72">
        <v>20</v>
      </c>
      <c r="Q81" s="72">
        <v>60</v>
      </c>
      <c r="R81" s="72">
        <v>110</v>
      </c>
      <c r="S81" s="11" t="s">
        <v>447</v>
      </c>
      <c r="T81" s="12">
        <v>4.6399999999999997</v>
      </c>
      <c r="U81" s="42">
        <f t="shared" si="14"/>
        <v>46.4</v>
      </c>
      <c r="V81" s="12">
        <v>4.6399999999999997</v>
      </c>
      <c r="W81" s="42">
        <f t="shared" si="15"/>
        <v>92.8</v>
      </c>
      <c r="X81" s="12">
        <v>3.25</v>
      </c>
      <c r="Y81" s="42">
        <f t="shared" si="16"/>
        <v>195</v>
      </c>
      <c r="Z81" s="12">
        <v>1.39</v>
      </c>
      <c r="AA81" s="42">
        <f t="shared" si="17"/>
        <v>152.89999999999998</v>
      </c>
      <c r="AB81" s="26" t="s">
        <v>461</v>
      </c>
    </row>
    <row r="82" spans="1:28" ht="13.5" thickBot="1">
      <c r="A82" s="106">
        <v>80</v>
      </c>
      <c r="B82" s="110"/>
      <c r="C82" s="69" t="s">
        <v>462</v>
      </c>
      <c r="D82" s="70" t="s">
        <v>463</v>
      </c>
      <c r="E82" s="70" t="s">
        <v>464</v>
      </c>
      <c r="F82" s="99">
        <v>61300211121</v>
      </c>
      <c r="G82" s="72" t="s">
        <v>465</v>
      </c>
      <c r="H82" s="71" t="s">
        <v>466</v>
      </c>
      <c r="I82" s="74" t="s">
        <v>467</v>
      </c>
      <c r="J82" s="70" t="s">
        <v>383</v>
      </c>
      <c r="K82" s="72">
        <v>4</v>
      </c>
      <c r="L82" s="72">
        <f t="shared" si="11"/>
        <v>20</v>
      </c>
      <c r="M82" s="72">
        <f t="shared" si="12"/>
        <v>100</v>
      </c>
      <c r="N82" s="72">
        <f t="shared" si="13"/>
        <v>400</v>
      </c>
      <c r="O82" s="72">
        <v>20</v>
      </c>
      <c r="P82" s="72">
        <v>40</v>
      </c>
      <c r="Q82" s="72">
        <v>120</v>
      </c>
      <c r="R82" s="72">
        <v>420</v>
      </c>
      <c r="S82" s="11" t="s">
        <v>38</v>
      </c>
      <c r="T82" s="12">
        <v>3.4500000000000003E-2</v>
      </c>
      <c r="U82" s="42">
        <f t="shared" si="14"/>
        <v>0.69000000000000006</v>
      </c>
      <c r="V82" s="12">
        <v>3.4500000000000003E-2</v>
      </c>
      <c r="W82" s="42">
        <f t="shared" si="15"/>
        <v>1.3800000000000001</v>
      </c>
      <c r="X82" s="12">
        <v>3.4500000000000003E-2</v>
      </c>
      <c r="Y82" s="42">
        <f t="shared" si="16"/>
        <v>4.1400000000000006</v>
      </c>
      <c r="Z82" s="12">
        <v>3.4500000000000003E-2</v>
      </c>
      <c r="AA82" s="42">
        <f t="shared" si="17"/>
        <v>14.490000000000002</v>
      </c>
      <c r="AB82" s="50"/>
    </row>
    <row r="83" spans="1:28" ht="13.5" thickBot="1">
      <c r="A83" s="106">
        <v>81</v>
      </c>
      <c r="B83" s="110"/>
      <c r="C83" s="53" t="s">
        <v>468</v>
      </c>
      <c r="D83" s="54" t="s">
        <v>469</v>
      </c>
      <c r="E83" s="54" t="s">
        <v>470</v>
      </c>
      <c r="F83" s="54" t="s">
        <v>470</v>
      </c>
      <c r="G83" s="35"/>
      <c r="H83" s="55" t="s">
        <v>35</v>
      </c>
      <c r="I83" s="55" t="s">
        <v>35</v>
      </c>
      <c r="J83" s="56" t="s">
        <v>383</v>
      </c>
      <c r="K83" s="35">
        <v>4</v>
      </c>
      <c r="L83" s="38">
        <f t="shared" si="11"/>
        <v>20</v>
      </c>
      <c r="M83" s="38">
        <f t="shared" si="12"/>
        <v>100</v>
      </c>
      <c r="N83" s="38">
        <f t="shared" si="13"/>
        <v>400</v>
      </c>
      <c r="O83" s="55" t="s">
        <v>35</v>
      </c>
      <c r="P83" s="55" t="s">
        <v>35</v>
      </c>
      <c r="Q83" s="55" t="s">
        <v>35</v>
      </c>
      <c r="R83" s="55" t="s">
        <v>35</v>
      </c>
      <c r="S83" s="55" t="s">
        <v>35</v>
      </c>
      <c r="T83" s="55" t="s">
        <v>35</v>
      </c>
      <c r="U83" s="55" t="s">
        <v>35</v>
      </c>
      <c r="V83" s="55" t="s">
        <v>35</v>
      </c>
      <c r="W83" s="55" t="s">
        <v>35</v>
      </c>
      <c r="X83" s="55" t="s">
        <v>35</v>
      </c>
      <c r="Y83" s="55" t="s">
        <v>35</v>
      </c>
      <c r="Z83" s="55" t="s">
        <v>35</v>
      </c>
      <c r="AA83" s="55" t="s">
        <v>35</v>
      </c>
      <c r="AB83" s="51" t="s">
        <v>471</v>
      </c>
    </row>
    <row r="84" spans="1:28" ht="26.25" thickBot="1">
      <c r="A84" s="106">
        <v>82</v>
      </c>
      <c r="B84" s="111"/>
      <c r="C84" s="57" t="s">
        <v>472</v>
      </c>
      <c r="D84" s="65" t="s">
        <v>473</v>
      </c>
      <c r="E84" s="58" t="s">
        <v>474</v>
      </c>
      <c r="F84" s="58" t="s">
        <v>474</v>
      </c>
      <c r="G84" s="36"/>
      <c r="H84" s="59" t="s">
        <v>35</v>
      </c>
      <c r="I84" s="59" t="s">
        <v>35</v>
      </c>
      <c r="J84" s="60" t="s">
        <v>383</v>
      </c>
      <c r="K84" s="36">
        <v>11</v>
      </c>
      <c r="L84" s="39">
        <f t="shared" si="11"/>
        <v>55</v>
      </c>
      <c r="M84" s="39">
        <f t="shared" si="12"/>
        <v>275</v>
      </c>
      <c r="N84" s="39">
        <f t="shared" si="13"/>
        <v>1100</v>
      </c>
      <c r="O84" s="59" t="s">
        <v>35</v>
      </c>
      <c r="P84" s="59" t="s">
        <v>35</v>
      </c>
      <c r="Q84" s="59" t="s">
        <v>35</v>
      </c>
      <c r="R84" s="59" t="s">
        <v>35</v>
      </c>
      <c r="S84" s="59" t="s">
        <v>35</v>
      </c>
      <c r="T84" s="59" t="s">
        <v>35</v>
      </c>
      <c r="U84" s="59" t="s">
        <v>35</v>
      </c>
      <c r="V84" s="59" t="s">
        <v>35</v>
      </c>
      <c r="W84" s="59" t="s">
        <v>35</v>
      </c>
      <c r="X84" s="59" t="s">
        <v>35</v>
      </c>
      <c r="Y84" s="59" t="s">
        <v>35</v>
      </c>
      <c r="Z84" s="59" t="s">
        <v>35</v>
      </c>
      <c r="AA84" s="59" t="s">
        <v>35</v>
      </c>
      <c r="AB84" s="52" t="s">
        <v>471</v>
      </c>
    </row>
    <row r="85" spans="1:28" ht="19.5" thickBo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62" t="s">
        <v>475</v>
      </c>
      <c r="L85" s="62"/>
      <c r="M85" s="62"/>
      <c r="N85" s="62"/>
      <c r="O85" s="40"/>
      <c r="P85" s="40"/>
      <c r="Q85" s="40"/>
      <c r="R85" s="40"/>
      <c r="S85" s="44"/>
      <c r="T85" s="37"/>
      <c r="U85" s="45">
        <f>SUM(U3:U82)</f>
        <v>417.65510000000006</v>
      </c>
      <c r="V85" s="46"/>
      <c r="W85" s="45">
        <f>SUM(W3:W84)</f>
        <v>646.74209999999982</v>
      </c>
      <c r="X85" s="46"/>
      <c r="Y85" s="45">
        <f>SUM(Y3:Y84)</f>
        <v>1805.4556</v>
      </c>
      <c r="Z85" s="46"/>
      <c r="AA85" s="45">
        <f>SUM(AA3:AA84)</f>
        <v>5756.6469999999981</v>
      </c>
      <c r="AB85" s="37"/>
    </row>
    <row r="86" spans="1:28" ht="18.7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63" t="s">
        <v>476</v>
      </c>
      <c r="L86" s="63"/>
      <c r="M86" s="63"/>
      <c r="N86" s="63"/>
      <c r="O86" s="40"/>
      <c r="P86" s="40"/>
      <c r="Q86" s="40"/>
      <c r="R86" s="40"/>
      <c r="S86" s="44"/>
      <c r="T86" s="37"/>
      <c r="U86" s="46"/>
      <c r="V86" s="46"/>
      <c r="W86" s="46">
        <f>W85/5</f>
        <v>129.34841999999998</v>
      </c>
      <c r="X86" s="46"/>
      <c r="Y86" s="46">
        <f>Y85/25</f>
        <v>72.218224000000006</v>
      </c>
      <c r="Z86" s="46"/>
      <c r="AA86" s="46">
        <f>AA85/100</f>
        <v>57.566469999999981</v>
      </c>
      <c r="AB86" s="37"/>
    </row>
  </sheetData>
  <mergeCells count="10">
    <mergeCell ref="A1:AB1"/>
    <mergeCell ref="K85:N85"/>
    <mergeCell ref="K86:N86"/>
    <mergeCell ref="B3:B29"/>
    <mergeCell ref="B30:B31"/>
    <mergeCell ref="B32:B35"/>
    <mergeCell ref="B37:B39"/>
    <mergeCell ref="B41:B64"/>
    <mergeCell ref="B67:B76"/>
    <mergeCell ref="B77:B84"/>
  </mergeCells>
  <conditionalFormatting sqref="W86:AA8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{0E4505D5-9B19-4319-AB61-159D064C81BA}</x14:id>
        </ext>
      </extLst>
    </cfRule>
  </conditionalFormatting>
  <conditionalFormatting sqref="K72:K73 K3:N3 S3:S10 S12:S82 L4:N84 K80:K84 K77:K78 K9:K13 K65 K45:K54 K16 K35:K36 K43 K5 K25:K29 K40:K41 K6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6:Z71 Y3:AA3 W3:W82 Z4:Z10 Z12:Z64 Z81:Z82 Z73 Z75:Z78 Y4:Y82 AA4:AA8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{90E43778-5195-4C68-8C6B-05E058A6E724}</x14:id>
        </ext>
      </extLst>
    </cfRule>
  </conditionalFormatting>
  <conditionalFormatting sqref="U3:U82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{06ACA94C-0162-4D36-915E-C264CFE2E3CC}</x14:id>
        </ext>
      </extLst>
    </cfRule>
  </conditionalFormatting>
  <conditionalFormatting sqref="Y3:Y82">
    <cfRule type="dataBar" priority="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{8193EBC2-AED3-499E-B9B6-37955DEFCDF8}</x14:id>
        </ext>
      </extLst>
    </cfRule>
  </conditionalFormatting>
  <conditionalFormatting sqref="AA3:AA82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{2C0AE225-3B9F-4F22-9EA0-9E0A27FD930C}</x14:id>
        </ext>
      </extLst>
    </cfRule>
  </conditionalFormatting>
  <conditionalFormatting sqref="K3:N84 S3:S10 S12:S8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S3" r:id="rId1" xr:uid="{00000000-0004-0000-0000-000000000000}"/>
    <hyperlink ref="S5" r:id="rId2" xr:uid="{00000000-0004-0000-0000-000001000000}"/>
    <hyperlink ref="S6" r:id="rId3" xr:uid="{00000000-0004-0000-0000-000002000000}"/>
    <hyperlink ref="S8" r:id="rId4" xr:uid="{00000000-0004-0000-0000-000003000000}"/>
    <hyperlink ref="S7" r:id="rId5" xr:uid="{00000000-0004-0000-0000-000004000000}"/>
    <hyperlink ref="S9" r:id="rId6" xr:uid="{00000000-0004-0000-0000-000005000000}"/>
    <hyperlink ref="S12" r:id="rId7" xr:uid="{00000000-0004-0000-0000-000006000000}"/>
    <hyperlink ref="S11" r:id="rId8" xr:uid="{00000000-0004-0000-0000-000007000000}"/>
    <hyperlink ref="S13" r:id="rId9" xr:uid="{00000000-0004-0000-0000-000008000000}"/>
    <hyperlink ref="S14" r:id="rId10" xr:uid="{00000000-0004-0000-0000-000009000000}"/>
    <hyperlink ref="S15" r:id="rId11" xr:uid="{00000000-0004-0000-0000-00000A000000}"/>
    <hyperlink ref="S16" r:id="rId12" xr:uid="{00000000-0004-0000-0000-00000B000000}"/>
    <hyperlink ref="S17" r:id="rId13" xr:uid="{00000000-0004-0000-0000-00000C000000}"/>
    <hyperlink ref="S18" r:id="rId14" xr:uid="{00000000-0004-0000-0000-00000D000000}"/>
    <hyperlink ref="S19" r:id="rId15" xr:uid="{00000000-0004-0000-0000-00000E000000}"/>
    <hyperlink ref="S20" r:id="rId16" xr:uid="{00000000-0004-0000-0000-00000F000000}"/>
    <hyperlink ref="S21" r:id="rId17" xr:uid="{00000000-0004-0000-0000-000010000000}"/>
    <hyperlink ref="S22" r:id="rId18" xr:uid="{00000000-0004-0000-0000-000011000000}"/>
    <hyperlink ref="S23" r:id="rId19" xr:uid="{00000000-0004-0000-0000-000012000000}"/>
    <hyperlink ref="S24" r:id="rId20" xr:uid="{00000000-0004-0000-0000-000013000000}"/>
    <hyperlink ref="S25" r:id="rId21" xr:uid="{00000000-0004-0000-0000-000014000000}"/>
    <hyperlink ref="S26" r:id="rId22" xr:uid="{00000000-0004-0000-0000-000015000000}"/>
    <hyperlink ref="S27" r:id="rId23" xr:uid="{00000000-0004-0000-0000-000016000000}"/>
    <hyperlink ref="S28" r:id="rId24" xr:uid="{00000000-0004-0000-0000-000017000000}"/>
    <hyperlink ref="S29" r:id="rId25" xr:uid="{00000000-0004-0000-0000-000019000000}"/>
    <hyperlink ref="S30" r:id="rId26" xr:uid="{00000000-0004-0000-0000-00001A000000}"/>
    <hyperlink ref="S31" r:id="rId27" xr:uid="{00000000-0004-0000-0000-00001B000000}"/>
    <hyperlink ref="S32" r:id="rId28" xr:uid="{00000000-0004-0000-0000-00001C000000}"/>
    <hyperlink ref="S33" r:id="rId29" xr:uid="{00000000-0004-0000-0000-00001D000000}"/>
    <hyperlink ref="S34" r:id="rId30" xr:uid="{00000000-0004-0000-0000-00001E000000}"/>
    <hyperlink ref="S37" r:id="rId31" xr:uid="{00000000-0004-0000-0000-000020000000}"/>
    <hyperlink ref="S38" r:id="rId32" xr:uid="{00000000-0004-0000-0000-000021000000}"/>
    <hyperlink ref="S39" r:id="rId33" xr:uid="{00000000-0004-0000-0000-000022000000}"/>
    <hyperlink ref="S40" r:id="rId34" xr:uid="{00000000-0004-0000-0000-000023000000}"/>
    <hyperlink ref="S41" r:id="rId35" xr:uid="{00000000-0004-0000-0000-000024000000}"/>
    <hyperlink ref="S42" r:id="rId36" xr:uid="{00000000-0004-0000-0000-000025000000}"/>
    <hyperlink ref="S43" r:id="rId37" xr:uid="{00000000-0004-0000-0000-000026000000}"/>
    <hyperlink ref="S44" r:id="rId38" xr:uid="{00000000-0004-0000-0000-000027000000}"/>
    <hyperlink ref="S45" r:id="rId39" xr:uid="{00000000-0004-0000-0000-000028000000}"/>
    <hyperlink ref="S46" r:id="rId40" xr:uid="{00000000-0004-0000-0000-000029000000}"/>
    <hyperlink ref="S47" r:id="rId41" xr:uid="{00000000-0004-0000-0000-00002A000000}"/>
    <hyperlink ref="S48" r:id="rId42" xr:uid="{00000000-0004-0000-0000-00002B000000}"/>
    <hyperlink ref="S49" r:id="rId43" xr:uid="{00000000-0004-0000-0000-00002C000000}"/>
    <hyperlink ref="S50" r:id="rId44" xr:uid="{00000000-0004-0000-0000-00002D000000}"/>
    <hyperlink ref="S51" r:id="rId45" xr:uid="{00000000-0004-0000-0000-00002E000000}"/>
    <hyperlink ref="S52" r:id="rId46" xr:uid="{00000000-0004-0000-0000-00002F000000}"/>
    <hyperlink ref="S53" r:id="rId47" xr:uid="{00000000-0004-0000-0000-000030000000}"/>
    <hyperlink ref="S54" r:id="rId48" xr:uid="{00000000-0004-0000-0000-000031000000}"/>
    <hyperlink ref="S55" r:id="rId49" xr:uid="{00000000-0004-0000-0000-000032000000}"/>
    <hyperlink ref="S58" r:id="rId50" xr:uid="{00000000-0004-0000-0000-000035000000}"/>
    <hyperlink ref="S59" r:id="rId51" xr:uid="{00000000-0004-0000-0000-000036000000}"/>
    <hyperlink ref="S60" r:id="rId52" xr:uid="{00000000-0004-0000-0000-000037000000}"/>
    <hyperlink ref="S61" r:id="rId53" xr:uid="{00000000-0004-0000-0000-000038000000}"/>
    <hyperlink ref="S62" r:id="rId54" xr:uid="{00000000-0004-0000-0000-000039000000}"/>
    <hyperlink ref="S63" r:id="rId55" xr:uid="{00000000-0004-0000-0000-00003A000000}"/>
    <hyperlink ref="S64" r:id="rId56" xr:uid="{00000000-0004-0000-0000-00003B000000}"/>
    <hyperlink ref="S65" r:id="rId57" xr:uid="{00000000-0004-0000-0000-00003C000000}"/>
    <hyperlink ref="S67" r:id="rId58" xr:uid="{00000000-0004-0000-0000-00003D000000}"/>
    <hyperlink ref="S68" r:id="rId59" xr:uid="{00000000-0004-0000-0000-00003E000000}"/>
    <hyperlink ref="S69" r:id="rId60" xr:uid="{00000000-0004-0000-0000-00003F000000}"/>
    <hyperlink ref="S70" r:id="rId61" xr:uid="{00000000-0004-0000-0000-000040000000}"/>
    <hyperlink ref="S71" r:id="rId62" xr:uid="{00000000-0004-0000-0000-000041000000}"/>
    <hyperlink ref="S72" r:id="rId63" xr:uid="{00000000-0004-0000-0000-000042000000}"/>
    <hyperlink ref="S73" r:id="rId64" xr:uid="{00000000-0004-0000-0000-000043000000}"/>
    <hyperlink ref="S74" r:id="rId65" xr:uid="{00000000-0004-0000-0000-000044000000}"/>
    <hyperlink ref="S75" r:id="rId66" xr:uid="{00000000-0004-0000-0000-000045000000}"/>
    <hyperlink ref="S76" r:id="rId67" xr:uid="{00000000-0004-0000-0000-000046000000}"/>
    <hyperlink ref="S77" r:id="rId68" xr:uid="{00000000-0004-0000-0000-000047000000}"/>
    <hyperlink ref="S78" r:id="rId69" xr:uid="{00000000-0004-0000-0000-000048000000}"/>
    <hyperlink ref="S80" r:id="rId70" xr:uid="{00000000-0004-0000-0000-000049000000}"/>
    <hyperlink ref="S81" r:id="rId71" xr:uid="{00000000-0004-0000-0000-00004A000000}"/>
    <hyperlink ref="S82" r:id="rId72" xr:uid="{00000000-0004-0000-0000-00004B000000}"/>
    <hyperlink ref="I6" r:id="rId73" tooltip="https://lcsc.com/product-detail/Multilayer-Ceramic-Capacitors-MLCC-SMD-SMT_Samsung-Electro-Mechanics-CL05B104KB54PNC_C307331.html" xr:uid="{00000000-0004-0000-0000-00004C000000}"/>
    <hyperlink ref="S4" r:id="rId74" xr:uid="{00000000-0004-0000-0000-00004D000000}"/>
    <hyperlink ref="S10" r:id="rId75" xr:uid="{00000000-0004-0000-0000-00004E000000}"/>
    <hyperlink ref="I7" r:id="rId76" tooltip="https://lcsc.com/product-detail/Multilayer-Ceramic-Capacitors-MLCC-SMD-SMT_YAGEO-CC0402KRX7R8BB103_C327025.html" xr:uid="{00000000-0004-0000-0000-00004F000000}"/>
    <hyperlink ref="S56" r:id="rId77" xr:uid="{EDAF4ED9-DC60-4484-9C6E-C5704A62EE22}"/>
    <hyperlink ref="S57" r:id="rId78" xr:uid="{4F387697-C38C-4793-8054-85513CBE9975}"/>
  </hyperlinks>
  <pageMargins left="0.75" right="0.75" top="1" bottom="1" header="0.5" footer="0.5"/>
  <pageSetup orientation="portrait" r:id="rId7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4505D5-9B19-4319-AB61-159D064C81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W86:AA86</xm:sqref>
        </x14:conditionalFormatting>
        <x14:conditionalFormatting xmlns:xm="http://schemas.microsoft.com/office/excel/2006/main">
          <x14:cfRule type="dataBar" id="{90E43778-5195-4C68-8C6B-05E058A6E7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Z66:Z71 Y3:AA3 W3:W82 Z4:Z10 Z12:Z64 Z81:Z82 Z73 Z75:Z78 Y4:Y82 AA4:AA82</xm:sqref>
        </x14:conditionalFormatting>
        <x14:conditionalFormatting xmlns:xm="http://schemas.microsoft.com/office/excel/2006/main">
          <x14:cfRule type="dataBar" id="{06ACA94C-0162-4D36-915E-C264CFE2E3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U3:U82</xm:sqref>
        </x14:conditionalFormatting>
        <x14:conditionalFormatting xmlns:xm="http://schemas.microsoft.com/office/excel/2006/main">
          <x14:cfRule type="dataBar" id="{8193EBC2-AED3-499E-B9B6-37955DEFCD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Y3:Y82</xm:sqref>
        </x14:conditionalFormatting>
        <x14:conditionalFormatting xmlns:xm="http://schemas.microsoft.com/office/excel/2006/main">
          <x14:cfRule type="dataBar" id="{2C0AE225-3B9F-4F22-9EA0-9E0A27FD93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HP</cp:lastModifiedBy>
  <dcterms:created xsi:type="dcterms:W3CDTF">2022-03-24T13:48:00Z</dcterms:created>
  <dcterms:modified xsi:type="dcterms:W3CDTF">2022-04-01T17:03:33Z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5BF2ACF6AF6243D1BCFFE42E867C80E3</vt:lpwstr>
  </property>
  <property fmtid="{D5CDD505-2E9C-101B-9397-08002B2CF9AE}" pid="3" name="KSOProductBuildVer">
    <vt:lpwstr>1033-11.2.0.11029</vt:lpwstr>
  </property>
</Properties>
</file>