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anarHarake-sEMGDevice\Deliverables\BOM\Sensor-Board\"/>
    </mc:Choice>
  </mc:AlternateContent>
  <xr:revisionPtr revIDLastSave="0" documentId="13_ncr:1_{6971AF30-D0DD-4850-AC1D-4AE8EA0F14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1" l="1"/>
  <c r="Q23" i="1"/>
  <c r="M11" i="1"/>
  <c r="M12" i="1"/>
  <c r="M13" i="1"/>
  <c r="M14" i="1"/>
  <c r="M15" i="1"/>
  <c r="M16" i="1"/>
  <c r="M17" i="1"/>
  <c r="M18" i="1"/>
  <c r="M19" i="1"/>
  <c r="M20" i="1"/>
  <c r="M21" i="1"/>
  <c r="M10" i="1"/>
  <c r="Q21" i="1" l="1"/>
  <c r="B21" i="1"/>
  <c r="Q20" i="1"/>
  <c r="B20" i="1"/>
  <c r="Q19" i="1"/>
  <c r="B19" i="1"/>
  <c r="Q18" i="1"/>
  <c r="B18" i="1"/>
  <c r="B17" i="1"/>
  <c r="Q16" i="1"/>
  <c r="B16" i="1"/>
  <c r="Q15" i="1"/>
  <c r="B15" i="1"/>
  <c r="B14" i="1"/>
  <c r="Q13" i="1"/>
  <c r="B13" i="1"/>
  <c r="Q12" i="1"/>
  <c r="B12" i="1"/>
  <c r="Q11" i="1"/>
  <c r="Q10" i="1"/>
  <c r="B11" i="1"/>
  <c r="B10" i="1"/>
</calcChain>
</file>

<file path=xl/sharedStrings.xml><?xml version="1.0" encoding="utf-8"?>
<sst xmlns="http://schemas.openxmlformats.org/spreadsheetml/2006/main" count="152" uniqueCount="104">
  <si>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</si>
  <si>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</si>
  <si>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</si>
  <si>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</si>
  <si>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</si>
  <si>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</si>
  <si>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</si>
  <si>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</si>
  <si>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</si>
  <si>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</si>
  <si>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FPC Connector</t>
  </si>
  <si>
    <t>FFC Connector</t>
  </si>
  <si>
    <t>TEST POINT</t>
  </si>
  <si>
    <t>Resistor</t>
  </si>
  <si>
    <t>Switch</t>
  </si>
  <si>
    <t>IC</t>
  </si>
  <si>
    <t>Designator</t>
  </si>
  <si>
    <t>C1, C2, C3</t>
  </si>
  <si>
    <t>C4, C5</t>
  </si>
  <si>
    <t>J1</t>
  </si>
  <si>
    <t>J2</t>
  </si>
  <si>
    <t>R1, R2</t>
  </si>
  <si>
    <t>R3, R4</t>
  </si>
  <si>
    <t>SB1, SB2, SB3, SB4, SB5, SB6</t>
  </si>
  <si>
    <t>SW1, SW2</t>
  </si>
  <si>
    <t>U1</t>
  </si>
  <si>
    <t>U2</t>
  </si>
  <si>
    <t>U17, U18</t>
  </si>
  <si>
    <t>Description</t>
  </si>
  <si>
    <t>CAP CER 10UF 25V X5R 0603</t>
  </si>
  <si>
    <t>CAP CER 0.1UF 50V X7R 0402</t>
  </si>
  <si>
    <t>Slide Lock 32 Bottom Contact Surface Mount 0.5mm SMD,P=0.5mm FFC/FPC Connectors ROHS</t>
  </si>
  <si>
    <t>CONN FPC/FFC 12POS .5MM</t>
  </si>
  <si>
    <t>Test Point ON</t>
  </si>
  <si>
    <t>RES 10K OHM 1% 1/16W 0402</t>
  </si>
  <si>
    <t>1/10W Thin Film Resistor 75V ±0.5% ±25ppm/℃ -55℃~+155℃ 64kΩ 0603 Chip Resistor - Surface Mount ROHS</t>
  </si>
  <si>
    <t>Solder Bridge ON</t>
  </si>
  <si>
    <t>No Gull Wing 50mA 100MΩ 80000 260gf@±50gf 12V -25℃~+85℃ 1.7mm Golden Round Button Brick nogging SPST SMD Tactile Switches ROHS</t>
  </si>
  <si>
    <t>NO Charge pump 1 -5.5V~-1.4V 1.4V~5.5V 60mA 19kHz SOT-23-5 DC-DC Converters ROHS</t>
  </si>
  <si>
    <t>SOT-23-5 Operational Amplifier ROHS</t>
  </si>
  <si>
    <t>IC OPAMP GP 1.3MHZ 14SO</t>
  </si>
  <si>
    <t>Footprint</t>
  </si>
  <si>
    <t>Cap-0603</t>
  </si>
  <si>
    <t>Cap-0402</t>
  </si>
  <si>
    <t>Res-0402</t>
  </si>
  <si>
    <t>Res-0603</t>
  </si>
  <si>
    <t>Solder Bridge</t>
  </si>
  <si>
    <t>SOT-23-5</t>
  </si>
  <si>
    <t>SO-14</t>
  </si>
  <si>
    <t>Manufacturer Part Number</t>
  </si>
  <si>
    <t>CL10A106MA8NRNC</t>
  </si>
  <si>
    <t>GRM155R71H104ME14D</t>
  </si>
  <si>
    <t>AFC07-S32FCA-00</t>
  </si>
  <si>
    <t>FH34SRJ-12S-0.5SH(50)</t>
  </si>
  <si>
    <t>RC0402FR-0710KL</t>
  </si>
  <si>
    <t>ARG03DTC6402N</t>
  </si>
  <si>
    <t>TC-0522C-1.7-260G</t>
  </si>
  <si>
    <t>SGM3207YN5G/TR</t>
  </si>
  <si>
    <t>TPMCP6021T-E/OT</t>
  </si>
  <si>
    <t>LM324DT</t>
  </si>
  <si>
    <t>Manufacturer</t>
  </si>
  <si>
    <t>Samsung</t>
  </si>
  <si>
    <t>Murata</t>
  </si>
  <si>
    <t>JUSHUO</t>
  </si>
  <si>
    <t>Hirose</t>
  </si>
  <si>
    <t>Yageo</t>
  </si>
  <si>
    <t>iking Tech</t>
  </si>
  <si>
    <t>HCTL</t>
  </si>
  <si>
    <t>SG Micro</t>
  </si>
  <si>
    <t>TECH PUBLIC</t>
  </si>
  <si>
    <t>STMicroelectronics</t>
  </si>
  <si>
    <t>LCSC Part Number</t>
  </si>
  <si>
    <t>C96446</t>
  </si>
  <si>
    <t>C182412</t>
  </si>
  <si>
    <t>C262570</t>
  </si>
  <si>
    <t>C424659</t>
  </si>
  <si>
    <t>C60490</t>
  </si>
  <si>
    <t>C2845290</t>
  </si>
  <si>
    <t>C80403</t>
  </si>
  <si>
    <t>C2923365</t>
  </si>
  <si>
    <t>10uF</t>
  </si>
  <si>
    <t>0.1uF</t>
  </si>
  <si>
    <t>10K</t>
  </si>
  <si>
    <t>64K</t>
  </si>
  <si>
    <t>Quantity</t>
  </si>
  <si>
    <t>Alternate Part Number</t>
  </si>
  <si>
    <t>Links</t>
  </si>
  <si>
    <t>Remarks</t>
  </si>
  <si>
    <t>Reviewer Remarks</t>
  </si>
  <si>
    <t>P1,P2, P3, P4, P5, P7, P9, P11, P13, P15, P16, P18, P20</t>
  </si>
  <si>
    <t>Quantity (2 Boards)</t>
  </si>
  <si>
    <t>MOQ (2 Boards)</t>
  </si>
  <si>
    <t>UnitCost (2 Boards)</t>
  </si>
  <si>
    <t>TotalCost (2 Boards)</t>
  </si>
  <si>
    <t>Test Points</t>
  </si>
  <si>
    <t>-</t>
  </si>
  <si>
    <t>LCSC</t>
  </si>
  <si>
    <t>Value</t>
  </si>
  <si>
    <t>C374581</t>
  </si>
  <si>
    <t>AR03DTC6402N</t>
  </si>
  <si>
    <t>C71035</t>
  </si>
  <si>
    <t>Bill of Materials for Project [ArmBand-Sensor-Board]</t>
  </si>
  <si>
    <t>ArmBand-Sensor-Board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</si>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</sst>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165" fontId="21" fillId="2" borderId="16" xfId="0" applyNumberFormat="1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/>
    </xf>
    <xf numFmtId="165" fontId="23" fillId="2" borderId="17" xfId="0" applyNumberFormat="1" applyFont="1" applyFill="1" applyBorder="1" applyAlignment="1">
      <alignment horizontal="center" vertical="center"/>
    </xf>
    <xf numFmtId="0" fontId="24" fillId="2" borderId="17" xfId="1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2" fillId="2" borderId="17" xfId="1" quotePrefix="1" applyFill="1" applyBorder="1" applyAlignment="1">
      <alignment horizontal="center" vertical="center" wrapText="1"/>
    </xf>
    <xf numFmtId="0" fontId="12" fillId="2" borderId="17" xfId="0" quotePrefix="1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4" fillId="2" borderId="19" xfId="1" applyFont="1" applyFill="1" applyBorder="1" applyAlignment="1">
      <alignment horizontal="center" vertical="center"/>
    </xf>
    <xf numFmtId="165" fontId="23" fillId="2" borderId="19" xfId="0" applyNumberFormat="1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Operational-Amplifier_TECH-PUBLIC-TPMCP6021T-E-OT_C2923365.html" TargetMode="External"/><Relationship Id="rId3" Type="http://schemas.openxmlformats.org/officeDocument/2006/relationships/hyperlink" Target="https://www.lcsc.com/product-detail/Multilayer-Ceramic-Capacitors-MLCC-SMD-SMT_Samsung-Electro-Mechanics-CL10A106MA8NRNC_C96446.html" TargetMode="External"/><Relationship Id="rId7" Type="http://schemas.openxmlformats.org/officeDocument/2006/relationships/hyperlink" Target="https://www.lcsc.com/product-detail/Chip-Resistor-Surface-Mount_Viking-Tech-AR03DTC6402N_C374581.htm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lcsc.com/product-detail/FFC-FPC-Connectors_JUSHUO-AFC07-S32FCA-00_C262570.html" TargetMode="External"/><Relationship Id="rId1" Type="http://schemas.openxmlformats.org/officeDocument/2006/relationships/hyperlink" Target="https://lcsc.com/product-detail/FFC-FPC-Connectors_HRS-Hirose-FH34SRJ-12S-0-5SH-50_C424659.html" TargetMode="External"/><Relationship Id="rId6" Type="http://schemas.openxmlformats.org/officeDocument/2006/relationships/hyperlink" Target="https://www.lcsc.com/product-detail/Tactile-Switches_HCTL-TC-0522C-1-7-260G_C2845290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Chip-Resistor-Surface-Mount_YAGEO-RC0402FR-0710KL_C60490.html" TargetMode="External"/><Relationship Id="rId10" Type="http://schemas.openxmlformats.org/officeDocument/2006/relationships/hyperlink" Target="https://www.lcsc.com/product-detail/DC-DC-Converters_SGMICRO-SGM3207YN5G-TR_C80403.html" TargetMode="External"/><Relationship Id="rId4" Type="http://schemas.openxmlformats.org/officeDocument/2006/relationships/hyperlink" Target="https://www.lcsc.com/product-detail/Multilayer-Ceramic-Capacitors-MLCC-SMD-SMT_Murata-Electronics-GRM155R71H104ME14D_C182412.html" TargetMode="External"/><Relationship Id="rId9" Type="http://schemas.openxmlformats.org/officeDocument/2006/relationships/hyperlink" Target="https://lcsc.com/product-detail/Operational-Amplifier_STMicroelectronics-LM324DT_C710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3"/>
  <sheetViews>
    <sheetView tabSelected="1" workbookViewId="0">
      <selection activeCell="A15" sqref="A1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5.710937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28515625" bestFit="1" customWidth="1"/>
    <col min="17" max="17" width="18.8554687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4"/>
      <c r="L1" s="74"/>
      <c r="M1" s="74"/>
      <c r="N1" s="74"/>
      <c r="O1" s="74"/>
      <c r="P1" s="74"/>
      <c r="Q1" s="74"/>
      <c r="R1" s="74"/>
      <c r="S1" s="75"/>
    </row>
    <row r="2" spans="1:19" ht="32.25" thickBot="1" x14ac:dyDescent="0.3">
      <c r="A2" s="1"/>
      <c r="B2" s="21"/>
      <c r="C2" s="31"/>
      <c r="D2" s="11" t="s">
        <v>0</v>
      </c>
      <c r="E2" s="11"/>
      <c r="F2" s="53" t="s">
        <v>101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4" t="s">
        <v>102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6"/>
    </row>
    <row r="4" spans="1:19" x14ac:dyDescent="0.25">
      <c r="A4" s="1"/>
      <c r="B4" s="22"/>
      <c r="C4" s="32"/>
      <c r="D4" s="13" t="s">
        <v>2</v>
      </c>
      <c r="E4" s="13"/>
      <c r="F4" s="55" t="s">
        <v>102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7"/>
    </row>
    <row r="5" spans="1:19" x14ac:dyDescent="0.25">
      <c r="A5" s="1"/>
      <c r="B5" s="22"/>
      <c r="C5" s="32"/>
      <c r="D5" s="13" t="s">
        <v>3</v>
      </c>
      <c r="E5" s="13"/>
      <c r="F5" s="56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7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7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7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7"/>
    </row>
    <row r="9" spans="1:19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28</v>
      </c>
      <c r="F9" s="30" t="s">
        <v>41</v>
      </c>
      <c r="G9" s="30" t="s">
        <v>49</v>
      </c>
      <c r="H9" s="30" t="s">
        <v>60</v>
      </c>
      <c r="I9" s="30" t="s">
        <v>85</v>
      </c>
      <c r="J9" s="30" t="s">
        <v>71</v>
      </c>
      <c r="K9" s="30" t="s">
        <v>97</v>
      </c>
      <c r="L9" s="30" t="s">
        <v>84</v>
      </c>
      <c r="M9" s="30" t="s">
        <v>90</v>
      </c>
      <c r="N9" s="30" t="s">
        <v>91</v>
      </c>
      <c r="O9" s="30" t="s">
        <v>86</v>
      </c>
      <c r="P9" s="30" t="s">
        <v>92</v>
      </c>
      <c r="Q9" s="30" t="s">
        <v>93</v>
      </c>
      <c r="R9" s="30" t="s">
        <v>87</v>
      </c>
      <c r="S9" s="30" t="s">
        <v>88</v>
      </c>
    </row>
    <row r="10" spans="1:19" x14ac:dyDescent="0.25">
      <c r="A10" s="1"/>
      <c r="B10" s="46">
        <f>ROW(B10) - ROW($B$9)</f>
        <v>1</v>
      </c>
      <c r="C10" s="71" t="s">
        <v>9</v>
      </c>
      <c r="D10" s="37" t="s">
        <v>17</v>
      </c>
      <c r="E10" s="37" t="s">
        <v>29</v>
      </c>
      <c r="F10" s="37" t="s">
        <v>42</v>
      </c>
      <c r="G10" s="37" t="s">
        <v>50</v>
      </c>
      <c r="H10" s="37" t="s">
        <v>61</v>
      </c>
      <c r="I10" s="37" t="s">
        <v>95</v>
      </c>
      <c r="J10" s="37" t="s">
        <v>72</v>
      </c>
      <c r="K10" s="37" t="s">
        <v>80</v>
      </c>
      <c r="L10" s="37">
        <v>3</v>
      </c>
      <c r="M10" s="37">
        <f>L10*2</f>
        <v>6</v>
      </c>
      <c r="N10" s="37">
        <v>20</v>
      </c>
      <c r="O10" s="64" t="s">
        <v>96</v>
      </c>
      <c r="P10" s="38">
        <v>2.3400000000000001E-2</v>
      </c>
      <c r="Q10" s="38">
        <f>P10*N10</f>
        <v>0.46800000000000003</v>
      </c>
      <c r="R10" s="37"/>
      <c r="S10" s="50"/>
    </row>
    <row r="11" spans="1:19" x14ac:dyDescent="0.25">
      <c r="A11" s="1"/>
      <c r="B11" s="47">
        <f t="shared" ref="B11:B20" si="0">ROW(B11) - ROW($B$9)</f>
        <v>2</v>
      </c>
      <c r="C11" s="72" t="s">
        <v>9</v>
      </c>
      <c r="D11" s="51" t="s">
        <v>18</v>
      </c>
      <c r="E11" s="51" t="s">
        <v>30</v>
      </c>
      <c r="F11" s="51" t="s">
        <v>43</v>
      </c>
      <c r="G11" s="51" t="s">
        <v>51</v>
      </c>
      <c r="H11" s="51" t="s">
        <v>62</v>
      </c>
      <c r="I11" s="51" t="s">
        <v>95</v>
      </c>
      <c r="J11" s="51" t="s">
        <v>73</v>
      </c>
      <c r="K11" s="51" t="s">
        <v>81</v>
      </c>
      <c r="L11" s="51">
        <v>2</v>
      </c>
      <c r="M11" s="37">
        <f t="shared" ref="M11:M21" si="1">L11*2</f>
        <v>4</v>
      </c>
      <c r="N11" s="51">
        <v>100</v>
      </c>
      <c r="O11" s="65" t="s">
        <v>96</v>
      </c>
      <c r="P11" s="52">
        <v>8.3000000000000001E-3</v>
      </c>
      <c r="Q11" s="52">
        <f t="shared" ref="Q11" si="2">P11*N11</f>
        <v>0.83</v>
      </c>
      <c r="R11" s="51"/>
      <c r="S11" s="51"/>
    </row>
    <row r="12" spans="1:19" ht="36" x14ac:dyDescent="0.25">
      <c r="A12" s="1"/>
      <c r="B12" s="46">
        <f>ROW(B12) - ROW($B$9)</f>
        <v>3</v>
      </c>
      <c r="C12" s="71" t="s">
        <v>10</v>
      </c>
      <c r="D12" s="37" t="s">
        <v>19</v>
      </c>
      <c r="E12" s="37" t="s">
        <v>31</v>
      </c>
      <c r="F12" s="37" t="s">
        <v>103</v>
      </c>
      <c r="G12" s="37" t="s">
        <v>52</v>
      </c>
      <c r="H12" s="37" t="s">
        <v>63</v>
      </c>
      <c r="I12" s="37" t="s">
        <v>95</v>
      </c>
      <c r="J12" s="37" t="s">
        <v>74</v>
      </c>
      <c r="K12" s="37" t="s">
        <v>95</v>
      </c>
      <c r="L12" s="37">
        <v>1</v>
      </c>
      <c r="M12" s="37">
        <f t="shared" si="1"/>
        <v>2</v>
      </c>
      <c r="N12" s="37">
        <v>3</v>
      </c>
      <c r="O12" s="61" t="s">
        <v>96</v>
      </c>
      <c r="P12" s="62">
        <v>0.16900000000000001</v>
      </c>
      <c r="Q12" s="38">
        <f>P12*N12</f>
        <v>0.50700000000000001</v>
      </c>
      <c r="R12" s="37"/>
      <c r="S12" s="57"/>
    </row>
    <row r="13" spans="1:19" x14ac:dyDescent="0.25">
      <c r="A13" s="1"/>
      <c r="B13" s="47">
        <f t="shared" si="0"/>
        <v>4</v>
      </c>
      <c r="C13" s="72" t="s">
        <v>11</v>
      </c>
      <c r="D13" s="51" t="s">
        <v>20</v>
      </c>
      <c r="E13" s="51" t="s">
        <v>32</v>
      </c>
      <c r="F13" s="51" t="s">
        <v>103</v>
      </c>
      <c r="G13" s="51" t="s">
        <v>53</v>
      </c>
      <c r="H13" s="51" t="s">
        <v>64</v>
      </c>
      <c r="I13" s="51"/>
      <c r="J13" s="51" t="s">
        <v>75</v>
      </c>
      <c r="K13" s="51" t="s">
        <v>95</v>
      </c>
      <c r="L13" s="51">
        <v>1</v>
      </c>
      <c r="M13" s="37">
        <f t="shared" si="1"/>
        <v>2</v>
      </c>
      <c r="N13" s="51">
        <v>3</v>
      </c>
      <c r="O13" s="63" t="s">
        <v>96</v>
      </c>
      <c r="P13" s="62">
        <v>0.19689999999999999</v>
      </c>
      <c r="Q13" s="52">
        <f t="shared" ref="Q13" si="3">P13*N13</f>
        <v>0.5907</v>
      </c>
      <c r="R13" s="51"/>
      <c r="S13" s="57"/>
    </row>
    <row r="14" spans="1:19" ht="24" x14ac:dyDescent="0.25">
      <c r="A14" s="1"/>
      <c r="B14" s="46">
        <f>ROW(B14) - ROW($B$9)</f>
        <v>5</v>
      </c>
      <c r="C14" s="73" t="s">
        <v>94</v>
      </c>
      <c r="D14" s="58" t="s">
        <v>89</v>
      </c>
      <c r="E14" s="58" t="s">
        <v>33</v>
      </c>
      <c r="F14" s="58" t="s">
        <v>103</v>
      </c>
      <c r="G14" s="58" t="s">
        <v>12</v>
      </c>
      <c r="H14" s="58" t="s">
        <v>95</v>
      </c>
      <c r="I14" s="58" t="s">
        <v>95</v>
      </c>
      <c r="J14" s="58" t="s">
        <v>95</v>
      </c>
      <c r="K14" s="58" t="s">
        <v>95</v>
      </c>
      <c r="L14" s="58">
        <v>13</v>
      </c>
      <c r="M14" s="58">
        <f t="shared" si="1"/>
        <v>26</v>
      </c>
      <c r="N14" s="58" t="s">
        <v>95</v>
      </c>
      <c r="O14" s="58" t="s">
        <v>95</v>
      </c>
      <c r="P14" s="59" t="s">
        <v>95</v>
      </c>
      <c r="Q14" s="59" t="s">
        <v>95</v>
      </c>
      <c r="R14" s="58"/>
      <c r="S14" s="60"/>
    </row>
    <row r="15" spans="1:19" x14ac:dyDescent="0.25">
      <c r="A15" s="1"/>
      <c r="B15" s="46">
        <f>ROW(B15) - ROW($B$9)</f>
        <v>6</v>
      </c>
      <c r="C15" s="71" t="s">
        <v>13</v>
      </c>
      <c r="D15" s="37" t="s">
        <v>21</v>
      </c>
      <c r="E15" s="37" t="s">
        <v>34</v>
      </c>
      <c r="F15" s="37" t="s">
        <v>44</v>
      </c>
      <c r="G15" s="37" t="s">
        <v>54</v>
      </c>
      <c r="H15" s="37" t="s">
        <v>65</v>
      </c>
      <c r="I15" s="37"/>
      <c r="J15" s="37" t="s">
        <v>76</v>
      </c>
      <c r="K15" s="37" t="s">
        <v>82</v>
      </c>
      <c r="L15" s="37">
        <v>2</v>
      </c>
      <c r="M15" s="37">
        <f t="shared" si="1"/>
        <v>4</v>
      </c>
      <c r="N15" s="37">
        <v>100</v>
      </c>
      <c r="O15" s="66" t="s">
        <v>96</v>
      </c>
      <c r="P15" s="67">
        <v>5.9999999999999995E-4</v>
      </c>
      <c r="Q15" s="38">
        <f>P15*N15</f>
        <v>0.06</v>
      </c>
      <c r="R15" s="37"/>
      <c r="S15" s="57"/>
    </row>
    <row r="16" spans="1:19" ht="36" x14ac:dyDescent="0.25">
      <c r="A16" s="1"/>
      <c r="B16" s="47">
        <f t="shared" si="0"/>
        <v>7</v>
      </c>
      <c r="C16" s="72" t="s">
        <v>13</v>
      </c>
      <c r="D16" s="51" t="s">
        <v>22</v>
      </c>
      <c r="E16" s="51" t="s">
        <v>35</v>
      </c>
      <c r="F16" s="51" t="s">
        <v>45</v>
      </c>
      <c r="G16" s="68" t="s">
        <v>55</v>
      </c>
      <c r="H16" s="51" t="s">
        <v>66</v>
      </c>
      <c r="I16" s="51" t="s">
        <v>99</v>
      </c>
      <c r="J16" s="51" t="s">
        <v>98</v>
      </c>
      <c r="K16" s="51" t="s">
        <v>83</v>
      </c>
      <c r="L16" s="51">
        <v>2</v>
      </c>
      <c r="M16" s="37">
        <f t="shared" si="1"/>
        <v>4</v>
      </c>
      <c r="N16" s="51">
        <v>50</v>
      </c>
      <c r="O16" s="61" t="s">
        <v>96</v>
      </c>
      <c r="P16" s="62">
        <v>1.47E-2</v>
      </c>
      <c r="Q16" s="52">
        <f t="shared" ref="Q16" si="4">P16*N16</f>
        <v>0.73499999999999999</v>
      </c>
      <c r="R16" s="51"/>
      <c r="S16" s="57"/>
    </row>
    <row r="17" spans="1:19" x14ac:dyDescent="0.25">
      <c r="A17" s="1"/>
      <c r="B17" s="46">
        <f>ROW(B17) - ROW($B$9)</f>
        <v>8</v>
      </c>
      <c r="C17" s="73" t="s">
        <v>46</v>
      </c>
      <c r="D17" s="58" t="s">
        <v>23</v>
      </c>
      <c r="E17" s="58" t="s">
        <v>36</v>
      </c>
      <c r="F17" s="58" t="s">
        <v>103</v>
      </c>
      <c r="G17" s="58" t="s">
        <v>46</v>
      </c>
      <c r="H17" s="58" t="s">
        <v>95</v>
      </c>
      <c r="I17" s="58" t="s">
        <v>95</v>
      </c>
      <c r="J17" s="58" t="s">
        <v>95</v>
      </c>
      <c r="K17" s="58" t="s">
        <v>95</v>
      </c>
      <c r="L17" s="58">
        <v>6</v>
      </c>
      <c r="M17" s="58">
        <f t="shared" si="1"/>
        <v>12</v>
      </c>
      <c r="N17" s="58" t="s">
        <v>95</v>
      </c>
      <c r="O17" s="58" t="s">
        <v>95</v>
      </c>
      <c r="P17" s="59" t="s">
        <v>95</v>
      </c>
      <c r="Q17" s="59" t="s">
        <v>95</v>
      </c>
      <c r="R17" s="58"/>
      <c r="S17" s="60"/>
    </row>
    <row r="18" spans="1:19" ht="48" x14ac:dyDescent="0.25">
      <c r="A18" s="1"/>
      <c r="B18" s="47">
        <f t="shared" si="0"/>
        <v>9</v>
      </c>
      <c r="C18" s="72" t="s">
        <v>14</v>
      </c>
      <c r="D18" s="51" t="s">
        <v>24</v>
      </c>
      <c r="E18" s="51" t="s">
        <v>37</v>
      </c>
      <c r="F18" s="51" t="s">
        <v>103</v>
      </c>
      <c r="G18" s="51" t="s">
        <v>56</v>
      </c>
      <c r="H18" s="51" t="s">
        <v>67</v>
      </c>
      <c r="I18" s="51" t="s">
        <v>95</v>
      </c>
      <c r="J18" s="51" t="s">
        <v>77</v>
      </c>
      <c r="K18" s="51" t="s">
        <v>95</v>
      </c>
      <c r="L18" s="51">
        <v>2</v>
      </c>
      <c r="M18" s="37">
        <f t="shared" si="1"/>
        <v>4</v>
      </c>
      <c r="N18" s="51">
        <v>50</v>
      </c>
      <c r="O18" s="61" t="s">
        <v>96</v>
      </c>
      <c r="P18" s="62">
        <v>1.61E-2</v>
      </c>
      <c r="Q18" s="52">
        <f t="shared" ref="Q18" si="5">P18*N18</f>
        <v>0.80499999999999994</v>
      </c>
      <c r="R18" s="51"/>
      <c r="S18" s="57"/>
    </row>
    <row r="19" spans="1:19" ht="36" x14ac:dyDescent="0.25">
      <c r="A19" s="1"/>
      <c r="B19" s="46">
        <f>ROW(B19) - ROW($B$9)</f>
        <v>10</v>
      </c>
      <c r="C19" s="71" t="s">
        <v>15</v>
      </c>
      <c r="D19" s="37" t="s">
        <v>25</v>
      </c>
      <c r="E19" s="37" t="s">
        <v>38</v>
      </c>
      <c r="F19" s="37" t="s">
        <v>47</v>
      </c>
      <c r="G19" s="37" t="s">
        <v>57</v>
      </c>
      <c r="H19" s="37" t="s">
        <v>68</v>
      </c>
      <c r="I19" s="37" t="s">
        <v>95</v>
      </c>
      <c r="J19" s="37" t="s">
        <v>78</v>
      </c>
      <c r="K19" s="37" t="s">
        <v>95</v>
      </c>
      <c r="L19" s="37">
        <v>1</v>
      </c>
      <c r="M19" s="37">
        <f t="shared" si="1"/>
        <v>2</v>
      </c>
      <c r="N19" s="37">
        <v>3</v>
      </c>
      <c r="O19" s="64" t="s">
        <v>96</v>
      </c>
      <c r="P19" s="38">
        <v>0.94820000000000004</v>
      </c>
      <c r="Q19" s="38">
        <f>P19*N19</f>
        <v>2.8446000000000002</v>
      </c>
      <c r="R19" s="37"/>
      <c r="S19" s="57"/>
    </row>
    <row r="20" spans="1:19" x14ac:dyDescent="0.25">
      <c r="A20" s="1"/>
      <c r="B20" s="47">
        <f t="shared" si="0"/>
        <v>11</v>
      </c>
      <c r="C20" s="72" t="s">
        <v>15</v>
      </c>
      <c r="D20" s="51" t="s">
        <v>26</v>
      </c>
      <c r="E20" s="51" t="s">
        <v>39</v>
      </c>
      <c r="F20" s="51" t="s">
        <v>47</v>
      </c>
      <c r="G20" s="51" t="s">
        <v>58</v>
      </c>
      <c r="H20" s="51" t="s">
        <v>69</v>
      </c>
      <c r="I20" s="51" t="s">
        <v>95</v>
      </c>
      <c r="J20" s="51" t="s">
        <v>79</v>
      </c>
      <c r="K20" s="51" t="s">
        <v>95</v>
      </c>
      <c r="L20" s="51">
        <v>1</v>
      </c>
      <c r="M20" s="37">
        <f t="shared" si="1"/>
        <v>2</v>
      </c>
      <c r="N20" s="51">
        <v>3</v>
      </c>
      <c r="O20" s="63" t="s">
        <v>96</v>
      </c>
      <c r="P20" s="62">
        <v>0.46779999999999999</v>
      </c>
      <c r="Q20" s="52">
        <f t="shared" ref="Q20" si="6">P20*N20</f>
        <v>1.4034</v>
      </c>
      <c r="R20" s="51"/>
      <c r="S20" s="57"/>
    </row>
    <row r="21" spans="1:19" ht="15.75" thickBot="1" x14ac:dyDescent="0.3">
      <c r="A21" s="1"/>
      <c r="B21" s="46">
        <f>ROW(B21) - ROW($B$9)</f>
        <v>12</v>
      </c>
      <c r="C21" s="71" t="s">
        <v>15</v>
      </c>
      <c r="D21" s="37" t="s">
        <v>27</v>
      </c>
      <c r="E21" s="37" t="s">
        <v>40</v>
      </c>
      <c r="F21" s="37" t="s">
        <v>48</v>
      </c>
      <c r="G21" s="37" t="s">
        <v>59</v>
      </c>
      <c r="H21" s="37" t="s">
        <v>70</v>
      </c>
      <c r="I21" s="37" t="s">
        <v>95</v>
      </c>
      <c r="J21" s="37" t="s">
        <v>100</v>
      </c>
      <c r="K21" s="37" t="s">
        <v>95</v>
      </c>
      <c r="L21" s="37">
        <v>2</v>
      </c>
      <c r="M21" s="37">
        <f t="shared" si="1"/>
        <v>4</v>
      </c>
      <c r="N21" s="37">
        <v>5</v>
      </c>
      <c r="O21" s="69" t="s">
        <v>96</v>
      </c>
      <c r="P21" s="70">
        <v>0.14219999999999999</v>
      </c>
      <c r="Q21" s="38">
        <f>P21*N21</f>
        <v>0.71099999999999997</v>
      </c>
      <c r="R21" s="37"/>
      <c r="S21" s="39"/>
    </row>
    <row r="22" spans="1:19" ht="19.5" thickBot="1" x14ac:dyDescent="0.3">
      <c r="A22" s="1"/>
      <c r="B22" s="40"/>
      <c r="C22" s="41"/>
      <c r="D22" s="42"/>
      <c r="E22" s="43"/>
      <c r="F22" s="44"/>
      <c r="G22" s="45"/>
      <c r="H22" s="44"/>
      <c r="I22" s="45"/>
      <c r="J22" s="44"/>
      <c r="K22" s="45"/>
      <c r="L22" s="45"/>
      <c r="M22" s="45"/>
      <c r="N22" s="82" t="s">
        <v>5</v>
      </c>
      <c r="O22" s="83"/>
      <c r="P22" s="83"/>
      <c r="Q22" s="48">
        <f>SUM(Q10:Q21)</f>
        <v>8.9547000000000008</v>
      </c>
      <c r="R22" s="78"/>
      <c r="S22" s="79"/>
    </row>
    <row r="23" spans="1:19" ht="19.5" thickBot="1" x14ac:dyDescent="0.3">
      <c r="A23" s="1"/>
      <c r="B23" s="25"/>
      <c r="C23" s="36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82" t="s">
        <v>6</v>
      </c>
      <c r="O23" s="83"/>
      <c r="P23" s="83"/>
      <c r="Q23" s="49">
        <f>Q22/2</f>
        <v>4.4773500000000004</v>
      </c>
      <c r="R23" s="80"/>
      <c r="S23" s="81"/>
    </row>
  </sheetData>
  <mergeCells count="5">
    <mergeCell ref="K1:S1"/>
    <mergeCell ref="S3:S8"/>
    <mergeCell ref="R22:S23"/>
    <mergeCell ref="N22:P22"/>
    <mergeCell ref="N23:P23"/>
  </mergeCells>
  <hyperlinks>
    <hyperlink ref="O13" r:id="rId1" xr:uid="{CBDE58CB-A28A-43CE-91D3-B212D1F852B4}"/>
    <hyperlink ref="O12" r:id="rId2" xr:uid="{771D9EC9-DD02-4D4D-9C1C-E9C783A353D6}"/>
    <hyperlink ref="O10" r:id="rId3" xr:uid="{D8155FE1-AF90-4A94-9BCD-D32074BBAA29}"/>
    <hyperlink ref="O11" r:id="rId4" xr:uid="{576B3EA0-0A04-4527-8478-95F67394FA15}"/>
    <hyperlink ref="O15" r:id="rId5" xr:uid="{33516B9F-176F-4430-9FD1-98AC074BC6D5}"/>
    <hyperlink ref="O18" r:id="rId6" xr:uid="{1D4E7BF9-40D2-4722-AD09-17908992C6FB}"/>
    <hyperlink ref="O16" r:id="rId7" xr:uid="{10DBEC2C-1009-4E9E-98E8-B3F6E7CA45D1}"/>
    <hyperlink ref="O20" r:id="rId8" xr:uid="{B49CFE27-209D-419B-81EF-86BFFB01CD9D}"/>
    <hyperlink ref="O21" r:id="rId9" xr:uid="{7C9F2C09-666D-4BBD-A609-5D24B20871FF}"/>
    <hyperlink ref="O19" r:id="rId10" xr:uid="{0756F9B0-8601-4E1C-A13B-5C30A5B6028F}"/>
  </hyperlinks>
  <pageMargins left="0.7" right="0.7" top="0.75" bottom="0.75" header="0.3" footer="0.3"/>
  <pageSetup paperSize="9"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2023-02-03T12:54:45Z</dcterms:modified>
</cp:coreProperties>
</file>