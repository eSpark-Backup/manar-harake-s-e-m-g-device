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BBF1ACAD-A226-4ACD-BB50-432073717B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7" i="1" l="1"/>
  <c r="L17" i="1"/>
  <c r="P15" i="1"/>
  <c r="B11" i="1"/>
  <c r="B12" i="1"/>
  <c r="B13" i="1"/>
  <c r="B14" i="1"/>
  <c r="B15" i="1"/>
  <c r="B16" i="1"/>
  <c r="B17" i="1"/>
  <c r="B18" i="1"/>
  <c r="B19" i="1"/>
  <c r="L15" i="1"/>
  <c r="P11" i="1"/>
  <c r="P12" i="1"/>
  <c r="P13" i="1"/>
  <c r="P16" i="1"/>
  <c r="P18" i="1"/>
  <c r="P19" i="1"/>
  <c r="P10" i="1"/>
  <c r="L11" i="1"/>
  <c r="L12" i="1"/>
  <c r="L13" i="1"/>
  <c r="L14" i="1"/>
  <c r="L16" i="1"/>
  <c r="L18" i="1"/>
  <c r="L19" i="1"/>
  <c r="L10" i="1"/>
  <c r="P20" i="1" l="1"/>
  <c r="P21" i="1" s="1"/>
  <c r="B10" i="1"/>
</calcChain>
</file>

<file path=xl/sharedStrings.xml><?xml version="1.0" encoding="utf-8"?>
<sst xmlns="http://schemas.openxmlformats.org/spreadsheetml/2006/main" count="123" uniqueCount="89">
  <si>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</si>
  <si>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</si>
  <si>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</si>
  <si>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</si>
  <si>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</si>
  <si>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</si>
  <si>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</si>
  <si>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</si>
  <si>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</si>
  <si>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</si>
  <si>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</si>
  <si>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C51, C52</t>
  </si>
  <si>
    <t>J1</t>
  </si>
  <si>
    <t>J2</t>
  </si>
  <si>
    <t>R25, R26</t>
  </si>
  <si>
    <t>U16</t>
  </si>
  <si>
    <t>U17, U18</t>
  </si>
  <si>
    <t>Description</t>
  </si>
  <si>
    <t>CAP CER 0.1UF 50V X7R 0402</t>
  </si>
  <si>
    <t>CAP CER 1UF 16V X5R 0402</t>
  </si>
  <si>
    <t>CONN FPC/FFC 12POS .5MM</t>
  </si>
  <si>
    <t>Test Point ON</t>
  </si>
  <si>
    <t>1/10W Thin Film Resistor 75V ±0.5% ±25ppm/℃ -55℃~+155℃ 64kΩ 0603 Chip Resistor - Surface Mount ROHS</t>
  </si>
  <si>
    <t>SOT-23-5 Operational Amplifier ROHS</t>
  </si>
  <si>
    <t>IC OPAMP GP 1.3MHZ 14SO</t>
  </si>
  <si>
    <t>Footprint</t>
  </si>
  <si>
    <t>Cap 0402</t>
  </si>
  <si>
    <t>FH34SRJ-12S-0.5SH(50)</t>
  </si>
  <si>
    <t>Res0603</t>
  </si>
  <si>
    <t>SOT-23-5</t>
  </si>
  <si>
    <t>SO-14</t>
  </si>
  <si>
    <t>Manufacturer Part Number</t>
  </si>
  <si>
    <t>GRM155R71H104ME14D</t>
  </si>
  <si>
    <t>CC0402KRX5R7BB105</t>
  </si>
  <si>
    <t>TPMCP6021T-E/OT</t>
  </si>
  <si>
    <t>LM324DT</t>
  </si>
  <si>
    <t>Manufacturer</t>
  </si>
  <si>
    <t>Murata</t>
  </si>
  <si>
    <t>Yageo</t>
  </si>
  <si>
    <t>Hirose</t>
  </si>
  <si>
    <t>iking Tech</t>
  </si>
  <si>
    <t>TECH PUBLIC</t>
  </si>
  <si>
    <t>STMicroelectronics</t>
  </si>
  <si>
    <t>Comment</t>
  </si>
  <si>
    <t>0.1uF</t>
  </si>
  <si>
    <t>1uF</t>
  </si>
  <si>
    <t>64K</t>
  </si>
  <si>
    <t>Custom</t>
  </si>
  <si>
    <t>----------</t>
  </si>
  <si>
    <t xml:space="preserve">Alternate Part No </t>
  </si>
  <si>
    <t>LCSC/Part No</t>
  </si>
  <si>
    <t>Quantity (1 Board)</t>
  </si>
  <si>
    <t>Quantity (5Boards)</t>
  </si>
  <si>
    <t>LCSC/MOQ/5 Boards</t>
  </si>
  <si>
    <t>Links</t>
  </si>
  <si>
    <t>Unit Cost/5 Boards</t>
  </si>
  <si>
    <t>Total Cost/5 Boards</t>
  </si>
  <si>
    <t>Remarks</t>
  </si>
  <si>
    <t xml:space="preserve">Reviewer Remarks </t>
  </si>
  <si>
    <t>CL05B104KB54PNC</t>
  </si>
  <si>
    <t>C307331</t>
  </si>
  <si>
    <t>LCSC</t>
  </si>
  <si>
    <t>C325464</t>
  </si>
  <si>
    <t>--------</t>
  </si>
  <si>
    <t>C424659</t>
  </si>
  <si>
    <t>C2923365</t>
  </si>
  <si>
    <t>C71035</t>
  </si>
  <si>
    <t>ARG03DTC6402N</t>
  </si>
  <si>
    <t>C2902643</t>
  </si>
  <si>
    <t xml:space="preserve">Total Component Cost </t>
  </si>
  <si>
    <t>Single Board Cost</t>
  </si>
  <si>
    <t>C1, C60</t>
  </si>
  <si>
    <t>Slide Lock 32 Bottom Contact Surface Mount 0.5mm SMD,P=0.5mm FFC/FPC Connectors ROHS</t>
  </si>
  <si>
    <t>AFC07-S32FCA-00</t>
  </si>
  <si>
    <t>JUSHUO</t>
  </si>
  <si>
    <t>P1, P3, P5, P7, P9, P11, P13, P15, P16, P18, P20</t>
  </si>
  <si>
    <t>DO NOT MOUNT</t>
  </si>
  <si>
    <t>R1, R2</t>
  </si>
  <si>
    <t>RES SMD 10K OHM 1% 1/16W 0402</t>
  </si>
  <si>
    <t>Res0402</t>
  </si>
  <si>
    <t>RC0402FR-0710KL</t>
  </si>
  <si>
    <t>10K</t>
  </si>
  <si>
    <t>SW1, SW2</t>
  </si>
  <si>
    <t>No Gull Wing 50mA 100MΩ 80000 260gf@±50gf 12V -25℃~+85℃ 1.7mm Golden Round Button Brick nogging SPST SMD Tactile Switches ROHS</t>
  </si>
  <si>
    <t>TC-0522C-1.7-260G</t>
  </si>
  <si>
    <t>HCTL</t>
  </si>
  <si>
    <t>C262570</t>
  </si>
  <si>
    <t>C60490</t>
  </si>
  <si>
    <t>C2845290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</si>
</sst>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1" fillId="2" borderId="27" xfId="0" quotePrefix="1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1" fillId="2" borderId="29" xfId="0" quotePrefix="1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165" fontId="16" fillId="0" borderId="28" xfId="0" applyNumberFormat="1" applyFont="1" applyBorder="1" applyAlignment="1">
      <alignment horizontal="center" vertical="center"/>
    </xf>
    <xf numFmtId="165" fontId="16" fillId="0" borderId="29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20" fillId="2" borderId="28" xfId="1" applyFont="1" applyFill="1" applyBorder="1" applyAlignment="1">
      <alignment horizontal="center" vertical="center"/>
    </xf>
    <xf numFmtId="0" fontId="20" fillId="4" borderId="29" xfId="1" applyFont="1" applyFill="1" applyBorder="1" applyAlignment="1">
      <alignment horizontal="center" vertical="center"/>
    </xf>
    <xf numFmtId="165" fontId="16" fillId="4" borderId="29" xfId="0" applyNumberFormat="1" applyFont="1" applyFill="1" applyBorder="1" applyAlignment="1">
      <alignment horizontal="center" vertical="center"/>
    </xf>
    <xf numFmtId="165" fontId="16" fillId="4" borderId="20" xfId="0" applyNumberFormat="1" applyFont="1" applyFill="1" applyBorder="1" applyAlignment="1">
      <alignment horizontal="center" vertical="center"/>
    </xf>
    <xf numFmtId="0" fontId="17" fillId="5" borderId="28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29" xfId="0" quotePrefix="1" applyFont="1" applyFill="1" applyBorder="1" applyAlignment="1">
      <alignment horizontal="center" vertical="center" wrapText="1"/>
    </xf>
    <xf numFmtId="0" fontId="11" fillId="4" borderId="20" xfId="0" quotePrefix="1" applyFont="1" applyFill="1" applyBorder="1" applyAlignment="1">
      <alignment horizontal="center" vertical="center" wrapText="1"/>
    </xf>
    <xf numFmtId="166" fontId="14" fillId="3" borderId="30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0" fillId="4" borderId="20" xfId="1" applyFont="1" applyFill="1" applyBorder="1" applyAlignment="1">
      <alignment horizontal="center" vertical="center"/>
    </xf>
    <xf numFmtId="0" fontId="22" fillId="2" borderId="28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 wrapText="1"/>
    </xf>
    <xf numFmtId="0" fontId="11" fillId="2" borderId="31" xfId="0" applyFont="1" applyFill="1" applyBorder="1" applyAlignment="1">
      <alignment horizontal="center" vertical="center" wrapText="1"/>
    </xf>
    <xf numFmtId="0" fontId="11" fillId="4" borderId="32" xfId="0" applyFont="1" applyFill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23" fillId="2" borderId="29" xfId="0" quotePrefix="1" applyFont="1" applyFill="1" applyBorder="1" applyAlignment="1">
      <alignment horizontal="center" vertical="center" wrapText="1"/>
    </xf>
    <xf numFmtId="0" fontId="16" fillId="2" borderId="27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0" fontId="20" fillId="2" borderId="29" xfId="1" applyFont="1" applyFill="1" applyBorder="1" applyAlignment="1">
      <alignment horizontal="center" vertical="center"/>
    </xf>
    <xf numFmtId="165" fontId="16" fillId="2" borderId="29" xfId="0" applyNumberFormat="1" applyFont="1" applyFill="1" applyBorder="1" applyAlignment="1">
      <alignment horizontal="center" vertical="center"/>
    </xf>
    <xf numFmtId="0" fontId="16" fillId="2" borderId="29" xfId="0" applyFont="1" applyFill="1" applyBorder="1" applyAlignment="1">
      <alignment horizontal="center" vertical="center"/>
    </xf>
    <xf numFmtId="0" fontId="11" fillId="4" borderId="24" xfId="0" quotePrefix="1" applyFont="1" applyFill="1" applyBorder="1" applyAlignment="1">
      <alignment horizontal="center" vertical="center" wrapText="1"/>
    </xf>
    <xf numFmtId="0" fontId="23" fillId="4" borderId="29" xfId="0" quotePrefix="1" applyFont="1" applyFill="1" applyBorder="1" applyAlignment="1">
      <alignment horizontal="center" vertical="center" wrapText="1"/>
    </xf>
    <xf numFmtId="0" fontId="11" fillId="4" borderId="27" xfId="0" quotePrefix="1" applyFont="1" applyFill="1" applyBorder="1" applyAlignment="1">
      <alignment horizontal="center" vertical="center" wrapText="1"/>
    </xf>
    <xf numFmtId="0" fontId="19" fillId="0" borderId="29" xfId="1" applyBorder="1" applyAlignment="1">
      <alignment horizontal="center" vertical="center"/>
    </xf>
    <xf numFmtId="0" fontId="19" fillId="4" borderId="29" xfId="1" quotePrefix="1" applyFill="1" applyBorder="1" applyAlignment="1">
      <alignment horizontal="center" vertical="center" wrapText="1"/>
    </xf>
    <xf numFmtId="165" fontId="16" fillId="0" borderId="26" xfId="0" applyNumberFormat="1" applyFont="1" applyBorder="1" applyAlignment="1">
      <alignment horizontal="center" vertical="center"/>
    </xf>
    <xf numFmtId="165" fontId="16" fillId="4" borderId="27" xfId="0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165" fontId="16" fillId="2" borderId="27" xfId="0" applyNumberFormat="1" applyFont="1" applyFill="1" applyBorder="1" applyAlignment="1">
      <alignment horizontal="center" vertical="center"/>
    </xf>
    <xf numFmtId="0" fontId="19" fillId="4" borderId="29" xfId="1" applyFill="1" applyBorder="1" applyAlignment="1">
      <alignment horizontal="center" vertical="center"/>
    </xf>
    <xf numFmtId="165" fontId="16" fillId="4" borderId="34" xfId="0" applyNumberFormat="1" applyFont="1" applyFill="1" applyBorder="1" applyAlignment="1">
      <alignment horizontal="center" vertical="center"/>
    </xf>
    <xf numFmtId="0" fontId="24" fillId="2" borderId="28" xfId="0" applyFont="1" applyFill="1" applyBorder="1" applyAlignment="1">
      <alignment horizontal="center" vertical="center" wrapText="1"/>
    </xf>
    <xf numFmtId="0" fontId="18" fillId="2" borderId="29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31" xfId="0" quotePrefix="1" applyFont="1" applyFill="1" applyBorder="1" applyAlignment="1">
      <alignment horizontal="center" vertical="center" wrapText="1"/>
    </xf>
    <xf numFmtId="0" fontId="18" fillId="2" borderId="29" xfId="0" quotePrefix="1" applyFont="1" applyFill="1" applyBorder="1" applyAlignment="1">
      <alignment horizontal="center" vertical="center" wrapText="1"/>
    </xf>
    <xf numFmtId="0" fontId="18" fillId="2" borderId="6" xfId="0" quotePrefix="1" applyFont="1" applyFill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2" borderId="24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21" fillId="3" borderId="19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6" fillId="3" borderId="1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34590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FR-0710KL_C60490.html" TargetMode="External"/><Relationship Id="rId3" Type="http://schemas.openxmlformats.org/officeDocument/2006/relationships/hyperlink" Target="https://lcsc.com/product-detail/FFC-FPC-Connectors_HRS-Hirose-FH34SRJ-12S-0-5SH-50_C424659.html" TargetMode="External"/><Relationship Id="rId7" Type="http://schemas.openxmlformats.org/officeDocument/2006/relationships/hyperlink" Target="https://lcsc.com/product-detail/FFC-FPC-Connectors_JUSHUO-AFC07-S32FCA-00_C262570.html" TargetMode="External"/><Relationship Id="rId2" Type="http://schemas.openxmlformats.org/officeDocument/2006/relationships/hyperlink" Target="https://lcsc.com/product-detail/Multilayer-Ceramic-Capacitors-MLCC-SMD-SMT_YAGEO-CC0402KRX5R7BB105_C325464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Chip-Resistor-Surface-Mount_Viking-Tech-ARG03DTC6402N_C2902643.html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lcsc.com/product-detail/Operational-Amplifier_STMicroelectronics-LM324DT_C71035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Operational-Amplifier_TECH-PUBLIC-TPMCP6021T-E-OT_C2923365.html" TargetMode="External"/><Relationship Id="rId9" Type="http://schemas.openxmlformats.org/officeDocument/2006/relationships/hyperlink" Target="https://www.lcsc.com/product-detail/Tactile-Switches_HCTL-TC-0522C-1-7-260G_C28452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1"/>
  <sheetViews>
    <sheetView tabSelected="1" workbookViewId="0">
      <selection activeCell="D27" sqref="D27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2.42578125" customWidth="1"/>
    <col min="6" max="6" width="29.42578125" bestFit="1" customWidth="1"/>
    <col min="7" max="7" width="20.85546875" bestFit="1" customWidth="1"/>
    <col min="8" max="8" width="18.85546875" bestFit="1" customWidth="1"/>
    <col min="9" max="9" width="18.85546875" customWidth="1"/>
    <col min="10" max="10" width="9.7109375" bestFit="1" customWidth="1"/>
    <col min="11" max="11" width="26.85546875" bestFit="1" customWidth="1"/>
    <col min="12" max="12" width="17.85546875" bestFit="1" customWidth="1"/>
    <col min="13" max="13" width="26.85546875" bestFit="1" customWidth="1"/>
    <col min="14" max="14" width="5.5703125" bestFit="1" customWidth="1"/>
    <col min="15" max="15" width="17.7109375" bestFit="1" customWidth="1"/>
    <col min="16" max="16" width="18.28515625" bestFit="1" customWidth="1"/>
    <col min="17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13"/>
      <c r="K1" s="114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17"/>
      <c r="K2" s="117"/>
      <c r="L2" s="117"/>
      <c r="M2" s="117"/>
      <c r="N2" s="117"/>
      <c r="O2" s="117"/>
      <c r="P2" s="117"/>
      <c r="Q2" s="117"/>
      <c r="R2" s="118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5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16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16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16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6"/>
    </row>
    <row r="8" spans="1:18" ht="15.75" thickBot="1" x14ac:dyDescent="0.3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6"/>
    </row>
    <row r="9" spans="1:18" ht="15.75" thickBot="1" x14ac:dyDescent="0.3">
      <c r="A9" s="1"/>
      <c r="B9" s="33" t="s">
        <v>4</v>
      </c>
      <c r="C9" s="32" t="s">
        <v>10</v>
      </c>
      <c r="D9" s="33" t="s">
        <v>17</v>
      </c>
      <c r="E9" s="32" t="s">
        <v>25</v>
      </c>
      <c r="F9" s="33" t="s">
        <v>31</v>
      </c>
      <c r="G9" s="32" t="s">
        <v>49</v>
      </c>
      <c r="H9" s="33" t="s">
        <v>36</v>
      </c>
      <c r="I9" s="32" t="s">
        <v>50</v>
      </c>
      <c r="J9" s="33" t="s">
        <v>43</v>
      </c>
      <c r="K9" s="46" t="s">
        <v>51</v>
      </c>
      <c r="L9" s="33" t="s">
        <v>52</v>
      </c>
      <c r="M9" s="45" t="s">
        <v>53</v>
      </c>
      <c r="N9" s="33" t="s">
        <v>54</v>
      </c>
      <c r="O9" s="33" t="s">
        <v>55</v>
      </c>
      <c r="P9" s="46" t="s">
        <v>56</v>
      </c>
      <c r="Q9" s="33" t="s">
        <v>57</v>
      </c>
      <c r="R9" s="46" t="s">
        <v>58</v>
      </c>
    </row>
    <row r="10" spans="1:18" ht="25.5" x14ac:dyDescent="0.25">
      <c r="A10" s="1"/>
      <c r="B10" s="67">
        <f>ROW(B10) - ROW($B$9)</f>
        <v>1</v>
      </c>
      <c r="C10" s="79" t="s">
        <v>71</v>
      </c>
      <c r="D10" s="69" t="s">
        <v>18</v>
      </c>
      <c r="E10" s="39" t="s">
        <v>26</v>
      </c>
      <c r="F10" s="81" t="s">
        <v>32</v>
      </c>
      <c r="G10" s="85" t="s">
        <v>59</v>
      </c>
      <c r="H10" s="69" t="s">
        <v>37</v>
      </c>
      <c r="I10" s="39" t="s">
        <v>60</v>
      </c>
      <c r="J10" s="69" t="s">
        <v>44</v>
      </c>
      <c r="K10" s="47">
        <v>2</v>
      </c>
      <c r="L10" s="40">
        <f>K10*5</f>
        <v>10</v>
      </c>
      <c r="M10" s="59">
        <v>50</v>
      </c>
      <c r="N10" s="63" t="s">
        <v>61</v>
      </c>
      <c r="O10" s="57">
        <v>7.1999999999999998E-3</v>
      </c>
      <c r="P10" s="98">
        <f>O10*M10</f>
        <v>0.36</v>
      </c>
      <c r="Q10" s="52"/>
      <c r="R10" s="47"/>
    </row>
    <row r="11" spans="1:18" x14ac:dyDescent="0.25">
      <c r="A11" s="1"/>
      <c r="B11" s="67">
        <f t="shared" ref="B11:B19" si="0">ROW(B11) - ROW($B$9)</f>
        <v>2</v>
      </c>
      <c r="C11" s="34" t="s">
        <v>11</v>
      </c>
      <c r="D11" s="70" t="s">
        <v>19</v>
      </c>
      <c r="E11" s="34" t="s">
        <v>26</v>
      </c>
      <c r="F11" s="82" t="s">
        <v>33</v>
      </c>
      <c r="G11" s="74" t="s">
        <v>63</v>
      </c>
      <c r="H11" s="70" t="s">
        <v>38</v>
      </c>
      <c r="I11" s="34" t="s">
        <v>62</v>
      </c>
      <c r="J11" s="70" t="s">
        <v>45</v>
      </c>
      <c r="K11" s="48">
        <v>2</v>
      </c>
      <c r="L11" s="31">
        <f t="shared" ref="L11:L19" si="1">K11*5</f>
        <v>10</v>
      </c>
      <c r="M11" s="60">
        <v>50</v>
      </c>
      <c r="N11" s="64" t="s">
        <v>61</v>
      </c>
      <c r="O11" s="65">
        <v>6.7000000000000002E-3</v>
      </c>
      <c r="P11" s="99">
        <f t="shared" ref="P11:P19" si="2">O11*M11</f>
        <v>0.33500000000000002</v>
      </c>
      <c r="Q11" s="53"/>
      <c r="R11" s="48"/>
    </row>
    <row r="12" spans="1:18" ht="48" x14ac:dyDescent="0.25">
      <c r="A12" s="1"/>
      <c r="B12" s="67">
        <f t="shared" si="0"/>
        <v>3</v>
      </c>
      <c r="C12" s="35" t="s">
        <v>12</v>
      </c>
      <c r="D12" s="79" t="s">
        <v>72</v>
      </c>
      <c r="E12" s="79" t="s">
        <v>47</v>
      </c>
      <c r="F12" s="80" t="s">
        <v>73</v>
      </c>
      <c r="G12" s="55" t="s">
        <v>63</v>
      </c>
      <c r="H12" s="69" t="s">
        <v>74</v>
      </c>
      <c r="I12" s="35" t="s">
        <v>86</v>
      </c>
      <c r="J12" s="55" t="s">
        <v>48</v>
      </c>
      <c r="K12" s="49">
        <v>1</v>
      </c>
      <c r="L12" s="30">
        <f t="shared" si="1"/>
        <v>5</v>
      </c>
      <c r="M12" s="61">
        <v>6</v>
      </c>
      <c r="N12" s="96" t="s">
        <v>61</v>
      </c>
      <c r="O12" s="58">
        <v>0.1598</v>
      </c>
      <c r="P12" s="100">
        <f t="shared" si="2"/>
        <v>0.95879999999999999</v>
      </c>
      <c r="Q12" s="54"/>
      <c r="R12" s="49"/>
    </row>
    <row r="13" spans="1:18" x14ac:dyDescent="0.25">
      <c r="A13" s="1"/>
      <c r="B13" s="67">
        <f t="shared" si="0"/>
        <v>4</v>
      </c>
      <c r="C13" s="34" t="s">
        <v>13</v>
      </c>
      <c r="D13" s="70" t="s">
        <v>20</v>
      </c>
      <c r="E13" s="34" t="s">
        <v>47</v>
      </c>
      <c r="F13" s="82" t="s">
        <v>27</v>
      </c>
      <c r="G13" s="74" t="s">
        <v>63</v>
      </c>
      <c r="H13" s="70" t="s">
        <v>39</v>
      </c>
      <c r="I13" s="34" t="s">
        <v>64</v>
      </c>
      <c r="J13" s="74" t="s">
        <v>48</v>
      </c>
      <c r="K13" s="48">
        <v>1</v>
      </c>
      <c r="L13" s="31">
        <f t="shared" si="1"/>
        <v>5</v>
      </c>
      <c r="M13" s="60">
        <v>6</v>
      </c>
      <c r="N13" s="64" t="s">
        <v>61</v>
      </c>
      <c r="O13" s="65">
        <v>0.1893</v>
      </c>
      <c r="P13" s="99">
        <f t="shared" si="2"/>
        <v>1.1357999999999999</v>
      </c>
      <c r="Q13" s="53"/>
      <c r="R13" s="48"/>
    </row>
    <row r="14" spans="1:18" x14ac:dyDescent="0.25">
      <c r="A14" s="1"/>
      <c r="B14" s="67">
        <f t="shared" si="0"/>
        <v>5</v>
      </c>
      <c r="C14" s="104" t="s">
        <v>75</v>
      </c>
      <c r="D14" s="105" t="s">
        <v>21</v>
      </c>
      <c r="E14" s="106" t="s">
        <v>47</v>
      </c>
      <c r="F14" s="107" t="s">
        <v>48</v>
      </c>
      <c r="G14" s="108" t="s">
        <v>63</v>
      </c>
      <c r="H14" s="108" t="s">
        <v>48</v>
      </c>
      <c r="I14" s="109" t="s">
        <v>63</v>
      </c>
      <c r="J14" s="108" t="s">
        <v>48</v>
      </c>
      <c r="K14" s="110">
        <v>11</v>
      </c>
      <c r="L14" s="111">
        <f t="shared" si="1"/>
        <v>55</v>
      </c>
      <c r="M14" s="112" t="s">
        <v>48</v>
      </c>
      <c r="N14" s="108" t="s">
        <v>63</v>
      </c>
      <c r="O14" s="108" t="s">
        <v>48</v>
      </c>
      <c r="P14" s="109" t="s">
        <v>48</v>
      </c>
      <c r="Q14" s="86" t="s">
        <v>76</v>
      </c>
      <c r="R14" s="50"/>
    </row>
    <row r="15" spans="1:18" ht="25.5" x14ac:dyDescent="0.25">
      <c r="A15" s="1"/>
      <c r="B15" s="67">
        <f t="shared" si="0"/>
        <v>6</v>
      </c>
      <c r="C15" s="70" t="s">
        <v>77</v>
      </c>
      <c r="D15" s="34" t="s">
        <v>78</v>
      </c>
      <c r="E15" s="70" t="s">
        <v>79</v>
      </c>
      <c r="F15" s="34" t="s">
        <v>80</v>
      </c>
      <c r="G15" s="74" t="s">
        <v>63</v>
      </c>
      <c r="H15" s="70" t="s">
        <v>38</v>
      </c>
      <c r="I15" s="73" t="s">
        <v>87</v>
      </c>
      <c r="J15" s="70" t="s">
        <v>81</v>
      </c>
      <c r="K15" s="53">
        <v>2</v>
      </c>
      <c r="L15" s="31">
        <f t="shared" si="1"/>
        <v>10</v>
      </c>
      <c r="M15" s="93">
        <v>100</v>
      </c>
      <c r="N15" s="97" t="s">
        <v>61</v>
      </c>
      <c r="O15" s="74">
        <v>5.9999999999999995E-4</v>
      </c>
      <c r="P15" s="99">
        <f t="shared" si="2"/>
        <v>0.06</v>
      </c>
      <c r="Q15" s="94"/>
      <c r="R15" s="95"/>
    </row>
    <row r="16" spans="1:18" ht="63.75" x14ac:dyDescent="0.25">
      <c r="A16" s="1"/>
      <c r="B16" s="67">
        <f t="shared" si="0"/>
        <v>7</v>
      </c>
      <c r="C16" s="35" t="s">
        <v>14</v>
      </c>
      <c r="D16" s="71" t="s">
        <v>22</v>
      </c>
      <c r="E16" s="35" t="s">
        <v>28</v>
      </c>
      <c r="F16" s="83" t="s">
        <v>67</v>
      </c>
      <c r="G16" s="55" t="s">
        <v>63</v>
      </c>
      <c r="H16" s="71" t="s">
        <v>40</v>
      </c>
      <c r="I16" s="35" t="s">
        <v>68</v>
      </c>
      <c r="J16" s="71" t="s">
        <v>46</v>
      </c>
      <c r="K16" s="87">
        <v>2</v>
      </c>
      <c r="L16" s="88">
        <f t="shared" si="1"/>
        <v>10</v>
      </c>
      <c r="M16" s="89">
        <v>50</v>
      </c>
      <c r="N16" s="90" t="s">
        <v>61</v>
      </c>
      <c r="O16" s="91">
        <v>1.2699999999999999E-2</v>
      </c>
      <c r="P16" s="101">
        <f t="shared" si="2"/>
        <v>0.63500000000000001</v>
      </c>
      <c r="Q16" s="92"/>
      <c r="R16" s="87"/>
    </row>
    <row r="17" spans="1:18" ht="76.5" x14ac:dyDescent="0.25">
      <c r="A17" s="1"/>
      <c r="B17" s="67">
        <f t="shared" si="0"/>
        <v>8</v>
      </c>
      <c r="C17" s="70" t="s">
        <v>82</v>
      </c>
      <c r="D17" s="34" t="s">
        <v>83</v>
      </c>
      <c r="E17" s="70" t="s">
        <v>47</v>
      </c>
      <c r="F17" s="34" t="s">
        <v>84</v>
      </c>
      <c r="G17" s="74" t="s">
        <v>63</v>
      </c>
      <c r="H17" s="70" t="s">
        <v>85</v>
      </c>
      <c r="I17" s="34" t="s">
        <v>88</v>
      </c>
      <c r="J17" s="74" t="s">
        <v>48</v>
      </c>
      <c r="K17" s="48">
        <v>2</v>
      </c>
      <c r="L17" s="31">
        <f t="shared" si="1"/>
        <v>10</v>
      </c>
      <c r="M17" s="60">
        <v>50</v>
      </c>
      <c r="N17" s="102" t="s">
        <v>61</v>
      </c>
      <c r="O17" s="65">
        <v>1.9E-2</v>
      </c>
      <c r="P17" s="99">
        <f t="shared" si="2"/>
        <v>0.95</v>
      </c>
      <c r="Q17" s="53"/>
      <c r="R17" s="48"/>
    </row>
    <row r="18" spans="1:18" ht="25.5" x14ac:dyDescent="0.25">
      <c r="A18" s="1"/>
      <c r="B18" s="67">
        <f t="shared" si="0"/>
        <v>9</v>
      </c>
      <c r="C18" s="35" t="s">
        <v>15</v>
      </c>
      <c r="D18" s="71" t="s">
        <v>23</v>
      </c>
      <c r="E18" s="35" t="s">
        <v>29</v>
      </c>
      <c r="F18" s="83" t="s">
        <v>34</v>
      </c>
      <c r="G18" s="55" t="s">
        <v>63</v>
      </c>
      <c r="H18" s="71" t="s">
        <v>41</v>
      </c>
      <c r="I18" s="35" t="s">
        <v>65</v>
      </c>
      <c r="J18" s="55" t="s">
        <v>48</v>
      </c>
      <c r="K18" s="87">
        <v>1</v>
      </c>
      <c r="L18" s="88">
        <f t="shared" si="1"/>
        <v>5</v>
      </c>
      <c r="M18" s="89">
        <v>6</v>
      </c>
      <c r="N18" s="90" t="s">
        <v>61</v>
      </c>
      <c r="O18" s="91">
        <v>0.44180000000000003</v>
      </c>
      <c r="P18" s="101">
        <f t="shared" si="2"/>
        <v>2.6508000000000003</v>
      </c>
      <c r="Q18" s="92"/>
      <c r="R18" s="87"/>
    </row>
    <row r="19" spans="1:18" ht="15.75" thickBot="1" x14ac:dyDescent="0.3">
      <c r="A19" s="1"/>
      <c r="B19" s="67">
        <f t="shared" si="0"/>
        <v>10</v>
      </c>
      <c r="C19" s="68" t="s">
        <v>16</v>
      </c>
      <c r="D19" s="72" t="s">
        <v>24</v>
      </c>
      <c r="E19" s="68" t="s">
        <v>30</v>
      </c>
      <c r="F19" s="84" t="s">
        <v>35</v>
      </c>
      <c r="G19" s="75" t="s">
        <v>63</v>
      </c>
      <c r="H19" s="72" t="s">
        <v>42</v>
      </c>
      <c r="I19" s="68" t="s">
        <v>66</v>
      </c>
      <c r="J19" s="75" t="s">
        <v>48</v>
      </c>
      <c r="K19" s="51">
        <v>2</v>
      </c>
      <c r="L19" s="41">
        <f t="shared" si="1"/>
        <v>10</v>
      </c>
      <c r="M19" s="62">
        <v>11</v>
      </c>
      <c r="N19" s="78" t="s">
        <v>61</v>
      </c>
      <c r="O19" s="66">
        <v>0.1229</v>
      </c>
      <c r="P19" s="103">
        <f t="shared" si="2"/>
        <v>1.3518999999999999</v>
      </c>
      <c r="Q19" s="56"/>
      <c r="R19" s="51"/>
    </row>
    <row r="20" spans="1:18" ht="19.5" thickBot="1" x14ac:dyDescent="0.3">
      <c r="A20" s="1"/>
      <c r="B20" s="42"/>
      <c r="C20" s="43" t="s">
        <v>5</v>
      </c>
      <c r="D20" s="44"/>
      <c r="E20" s="121"/>
      <c r="F20" s="121"/>
      <c r="G20" s="121"/>
      <c r="H20" s="121"/>
      <c r="I20" s="121"/>
      <c r="J20" s="121"/>
      <c r="K20" s="121"/>
      <c r="L20" s="122"/>
      <c r="M20" s="119" t="s">
        <v>69</v>
      </c>
      <c r="N20" s="120"/>
      <c r="O20" s="120"/>
      <c r="P20" s="76">
        <f>SUM(P10:P19)</f>
        <v>8.4373000000000005</v>
      </c>
      <c r="Q20" s="121"/>
      <c r="R20" s="122"/>
    </row>
    <row r="21" spans="1:18" ht="19.5" thickBot="1" x14ac:dyDescent="0.3">
      <c r="A21" s="1"/>
      <c r="B21" s="24"/>
      <c r="C21" s="8" t="s">
        <v>6</v>
      </c>
      <c r="D21" s="9"/>
      <c r="E21" s="123"/>
      <c r="F21" s="123"/>
      <c r="G21" s="123"/>
      <c r="H21" s="123"/>
      <c r="I21" s="123"/>
      <c r="J21" s="123"/>
      <c r="K21" s="123"/>
      <c r="L21" s="124"/>
      <c r="M21" s="119" t="s">
        <v>70</v>
      </c>
      <c r="N21" s="120"/>
      <c r="O21" s="120"/>
      <c r="P21" s="77">
        <f>P20/5</f>
        <v>1.6874600000000002</v>
      </c>
      <c r="Q21" s="123"/>
      <c r="R21" s="124"/>
    </row>
  </sheetData>
  <mergeCells count="7">
    <mergeCell ref="J1:K1"/>
    <mergeCell ref="R3:R8"/>
    <mergeCell ref="J2:R2"/>
    <mergeCell ref="M20:O20"/>
    <mergeCell ref="M21:O21"/>
    <mergeCell ref="E20:L21"/>
    <mergeCell ref="Q20:R21"/>
  </mergeCells>
  <hyperlinks>
    <hyperlink ref="N10" r:id="rId1" xr:uid="{100462C4-FA8F-4D16-8168-575F3EAD1350}"/>
    <hyperlink ref="N11" r:id="rId2" xr:uid="{CC1A75C7-134E-4E20-A6A5-5C056D4918B2}"/>
    <hyperlink ref="N13" r:id="rId3" xr:uid="{FFF28CE1-87AC-4ADE-A95E-16C393CFA042}"/>
    <hyperlink ref="N18" r:id="rId4" xr:uid="{BB22E13A-9E79-4097-AC4F-F19B2F2754A8}"/>
    <hyperlink ref="N19" r:id="rId5" xr:uid="{DF4029E5-E8D3-4584-B881-A0621DBEE882}"/>
    <hyperlink ref="N16" r:id="rId6" xr:uid="{28F214EC-7847-4913-BF43-3F44A00C2675}"/>
    <hyperlink ref="N12" r:id="rId7" xr:uid="{EF2D9422-FA3A-455D-9387-61549C679B7C}"/>
    <hyperlink ref="N15" r:id="rId8" xr:uid="{69A342B8-9C85-4B7D-8311-112DBA009E48}"/>
    <hyperlink ref="N17" r:id="rId9" xr:uid="{FF8D0A6F-0199-49C1-809C-095969B7F3F7}"/>
  </hyperlinks>
  <pageMargins left="0.7" right="0.7" top="0.75" bottom="0.75" header="0.3" footer="0.3"/>
  <pageSetup paperSize="9" orientation="portrait" r:id="rId10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2022-06-30T11:26:06Z</dcterms:modified>
</cp:coreProperties>
</file>