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BOM\Sensor-Board\"/>
    </mc:Choice>
  </mc:AlternateContent>
  <xr:revisionPtr revIDLastSave="0" documentId="13_ncr:1_{FB58B122-5A91-43F9-B017-AD98AA54EA93}" xr6:coauthVersionLast="47" xr6:coauthVersionMax="47" xr10:uidLastSave="{00000000-0000-0000-0000-000000000000}"/>
  <bookViews>
    <workbookView xWindow="21720" yWindow="339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1" i="1" l="1"/>
  <c r="P12" i="1"/>
  <c r="P13" i="1"/>
  <c r="P15" i="1"/>
  <c r="P16" i="1"/>
  <c r="P17" i="1"/>
  <c r="P10" i="1"/>
  <c r="L11" i="1"/>
  <c r="L12" i="1"/>
  <c r="L13" i="1"/>
  <c r="L14" i="1"/>
  <c r="L15" i="1"/>
  <c r="L16" i="1"/>
  <c r="L17" i="1"/>
  <c r="L10" i="1"/>
  <c r="P18" i="1" l="1"/>
  <c r="P19" i="1" s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<sst xmlns="http://schemas.openxmlformats.org/spreadsheetml/2006/main" count="106" uniqueCount="76">
  <si>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</si>
  <si>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</si>
  <si>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</si>
  <si>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</si>
  <si>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</si>
  <si>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</si>
  <si>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</si>
  <si>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[ArmBand-Sensor-Board.PrjPcb] (No PCB Document Selected)</t>
  </si>
  <si>
    <t>ArmBand-Sensor-Board.PrjPcb</t>
  </si>
  <si>
    <t>None</t>
  </si>
  <si>
    <t>Designator</t>
  </si>
  <si>
    <t>C51, C52</t>
  </si>
  <si>
    <t>J1</t>
  </si>
  <si>
    <t>J2</t>
  </si>
  <si>
    <t>P1, P2, P3, P4, P5, P6, P7, P8, P9, P10, P11, P12, P13, P14, P15, P16, P17, P18, P19</t>
  </si>
  <si>
    <t>R25, R26</t>
  </si>
  <si>
    <t>U16</t>
  </si>
  <si>
    <t>U17, U18</t>
  </si>
  <si>
    <t>Description</t>
  </si>
  <si>
    <t>CAP CER 0.1UF 50V X7R 0402</t>
  </si>
  <si>
    <t>CAP CER 1UF 16V X5R 0402</t>
  </si>
  <si>
    <t>CONN FFC BOTTOM 24POS 0.50MM R/A</t>
  </si>
  <si>
    <t>CONN FPC/FFC 12POS .5MM</t>
  </si>
  <si>
    <t>Test Point ON</t>
  </si>
  <si>
    <t>1/10W Thin Film Resistor 75V ±0.5% ±25ppm/℃ -55℃~+155℃ 64kΩ 0603 Chip Resistor - Surface Mount ROHS</t>
  </si>
  <si>
    <t>SOT-23-5 Operational Amplifier ROHS</t>
  </si>
  <si>
    <t>IC OPAMP GP 1.3MHZ 14SO</t>
  </si>
  <si>
    <t>Footprint</t>
  </si>
  <si>
    <t>Cap 0402</t>
  </si>
  <si>
    <t>FH12-24S-0.5SH(55)</t>
  </si>
  <si>
    <t>FH34SRJ-12S-0.5SH(50)</t>
  </si>
  <si>
    <t>Res0603</t>
  </si>
  <si>
    <t>SOT-23-5</t>
  </si>
  <si>
    <t>SO-14</t>
  </si>
  <si>
    <t>Manufacturer Part Number</t>
  </si>
  <si>
    <t>GRM155R71H104ME14D</t>
  </si>
  <si>
    <t>CC0402KRX5R7BB105</t>
  </si>
  <si>
    <t>TPMCP6021T-E/OT</t>
  </si>
  <si>
    <t>LM324DT</t>
  </si>
  <si>
    <t>Manufacturer</t>
  </si>
  <si>
    <t>Murata</t>
  </si>
  <si>
    <t>Yageo</t>
  </si>
  <si>
    <t>Hirose</t>
  </si>
  <si>
    <t>iking Tech</t>
  </si>
  <si>
    <t>TECH PUBLIC</t>
  </si>
  <si>
    <t>STMicroelectronics</t>
  </si>
  <si>
    <t>Comment</t>
  </si>
  <si>
    <t>0.1uF</t>
  </si>
  <si>
    <t>1uF</t>
  </si>
  <si>
    <t>64K</t>
  </si>
  <si>
    <t>Custom</t>
  </si>
  <si>
    <t>----------</t>
  </si>
  <si>
    <t xml:space="preserve">Alternate Part No </t>
  </si>
  <si>
    <t>LCSC/Part No</t>
  </si>
  <si>
    <t>Quantity (1 Board)</t>
  </si>
  <si>
    <t>Quantity (5Boards)</t>
  </si>
  <si>
    <t>LCSC/MOQ/5 Boards</t>
  </si>
  <si>
    <t>Links</t>
  </si>
  <si>
    <t>Unit Cost/5 Boards</t>
  </si>
  <si>
    <t>Total Cost/5 Boards</t>
  </si>
  <si>
    <t>Remarks</t>
  </si>
  <si>
    <t xml:space="preserve">Reviewer Remarks </t>
  </si>
  <si>
    <t>CL05B104KB54PNC</t>
  </si>
  <si>
    <t>C307331</t>
  </si>
  <si>
    <t>LCSC</t>
  </si>
  <si>
    <t>C325464</t>
  </si>
  <si>
    <t>--------</t>
  </si>
  <si>
    <t>C424659</t>
  </si>
  <si>
    <t>C202112</t>
  </si>
  <si>
    <t>C2923365</t>
  </si>
  <si>
    <t>C71035</t>
  </si>
  <si>
    <t>ARG03DTC6402N</t>
  </si>
  <si>
    <t>C2902643</t>
  </si>
  <si>
    <t xml:space="preserve">Total Component Cost </t>
  </si>
  <si>
    <t>Single Board Cost</t>
  </si>
  <si>
    <t>C1, C60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</si>
</sst>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03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2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1" xfId="0" applyFont="1" applyFill="1" applyBorder="1" applyAlignment="1">
      <alignment vertical="center"/>
    </xf>
    <xf numFmtId="0" fontId="14" fillId="3" borderId="12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5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4" fillId="3" borderId="12" xfId="0" quotePrefix="1" applyFont="1" applyFill="1" applyBorder="1" applyAlignment="1">
      <alignment vertical="center"/>
    </xf>
    <xf numFmtId="0" fontId="14" fillId="3" borderId="0" xfId="0" quotePrefix="1" applyFont="1" applyFill="1" applyBorder="1" applyAlignment="1">
      <alignment horizontal="left"/>
    </xf>
    <xf numFmtId="0" fontId="14" fillId="3" borderId="6" xfId="0" quotePrefix="1" applyFont="1" applyFill="1" applyBorder="1" applyAlignment="1">
      <alignment horizontal="left"/>
    </xf>
    <xf numFmtId="0" fontId="14" fillId="3" borderId="5" xfId="0" quotePrefix="1" applyFont="1" applyFill="1" applyBorder="1" applyAlignment="1">
      <alignment horizontal="left"/>
    </xf>
    <xf numFmtId="0" fontId="16" fillId="0" borderId="14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1" fillId="2" borderId="5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0" fillId="3" borderId="11" xfId="0" applyNumberFormat="1" applyFont="1" applyFill="1" applyBorder="1" applyAlignment="1" applyProtection="1">
      <alignment vertical="center"/>
      <protection locked="0"/>
    </xf>
    <xf numFmtId="0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7" fillId="5" borderId="19" xfId="0" applyFont="1" applyFill="1" applyBorder="1" applyAlignment="1">
      <alignment horizontal="center" vertical="center"/>
    </xf>
    <xf numFmtId="0" fontId="11" fillId="2" borderId="24" xfId="0" quotePrefix="1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1" fillId="2" borderId="27" xfId="0" quotePrefix="1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1" fillId="2" borderId="29" xfId="0" quotePrefix="1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/>
    </xf>
    <xf numFmtId="165" fontId="16" fillId="0" borderId="28" xfId="0" applyNumberFormat="1" applyFont="1" applyBorder="1" applyAlignment="1">
      <alignment horizontal="center" vertical="center"/>
    </xf>
    <xf numFmtId="165" fontId="16" fillId="0" borderId="29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165" fontId="16" fillId="4" borderId="6" xfId="0" applyNumberFormat="1" applyFont="1" applyFill="1" applyBorder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/>
    </xf>
    <xf numFmtId="0" fontId="11" fillId="2" borderId="6" xfId="0" quotePrefix="1" applyFont="1" applyFill="1" applyBorder="1" applyAlignment="1">
      <alignment horizontal="center" vertical="center" wrapText="1"/>
    </xf>
    <xf numFmtId="165" fontId="16" fillId="4" borderId="1" xfId="0" applyNumberFormat="1" applyFont="1" applyFill="1" applyBorder="1" applyAlignment="1">
      <alignment horizontal="center" vertical="center"/>
    </xf>
    <xf numFmtId="0" fontId="20" fillId="2" borderId="28" xfId="1" applyFont="1" applyFill="1" applyBorder="1" applyAlignment="1">
      <alignment horizontal="center" vertical="center"/>
    </xf>
    <xf numFmtId="0" fontId="20" fillId="4" borderId="29" xfId="1" applyFont="1" applyFill="1" applyBorder="1" applyAlignment="1">
      <alignment horizontal="center" vertical="center"/>
    </xf>
    <xf numFmtId="165" fontId="16" fillId="4" borderId="29" xfId="0" applyNumberFormat="1" applyFont="1" applyFill="1" applyBorder="1" applyAlignment="1">
      <alignment horizontal="center" vertical="center"/>
    </xf>
    <xf numFmtId="165" fontId="16" fillId="4" borderId="20" xfId="0" applyNumberFormat="1" applyFont="1" applyFill="1" applyBorder="1" applyAlignment="1">
      <alignment horizontal="center" vertical="center"/>
    </xf>
    <xf numFmtId="0" fontId="17" fillId="5" borderId="28" xfId="0" applyFont="1" applyFill="1" applyBorder="1" applyAlignment="1">
      <alignment horizontal="center" vertical="center" wrapText="1"/>
    </xf>
    <xf numFmtId="0" fontId="17" fillId="5" borderId="29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1" fillId="4" borderId="6" xfId="0" quotePrefix="1" applyFont="1" applyFill="1" applyBorder="1" applyAlignment="1">
      <alignment horizontal="center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11" fillId="4" borderId="29" xfId="0" quotePrefix="1" applyFont="1" applyFill="1" applyBorder="1" applyAlignment="1">
      <alignment horizontal="center" vertical="center" wrapText="1"/>
    </xf>
    <xf numFmtId="0" fontId="11" fillId="4" borderId="20" xfId="0" quotePrefix="1" applyFont="1" applyFill="1" applyBorder="1" applyAlignment="1">
      <alignment horizontal="center" vertical="center" wrapText="1"/>
    </xf>
    <xf numFmtId="166" fontId="14" fillId="3" borderId="30" xfId="0" quotePrefix="1" applyNumberFormat="1" applyFont="1" applyFill="1" applyBorder="1" applyAlignment="1">
      <alignment horizontal="center" vertical="center" wrapText="1"/>
    </xf>
    <xf numFmtId="166" fontId="14" fillId="3" borderId="18" xfId="0" applyNumberFormat="1" applyFont="1" applyFill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0" fontId="20" fillId="4" borderId="20" xfId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21" fillId="3" borderId="19" xfId="0" applyFont="1" applyFill="1" applyBorder="1" applyAlignment="1" applyProtection="1">
      <alignment horizontal="center" vertical="top"/>
      <protection locked="0"/>
    </xf>
    <xf numFmtId="0" fontId="21" fillId="3" borderId="12" xfId="0" applyFont="1" applyFill="1" applyBorder="1" applyAlignment="1" applyProtection="1">
      <alignment horizontal="center" vertical="top"/>
      <protection locked="0"/>
    </xf>
    <xf numFmtId="0" fontId="16" fillId="3" borderId="1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2" fillId="2" borderId="2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</xdr:colOff>
      <xdr:row>2</xdr:row>
      <xdr:rowOff>10417</xdr:rowOff>
    </xdr:from>
    <xdr:ext cx="1714500" cy="1104008"/>
    <xdr:pic>
      <xdr:nvPicPr>
        <xdr:cNvPr id="9" name="Picture 8">
          <a:extLst>
            <a:ext uri="{FF2B5EF4-FFF2-40B4-BE49-F238E27FC236}">
              <a16:creationId xmlns:a16="http://schemas.microsoft.com/office/drawing/2014/main" id="{52A8BB7C-E0AB-4CE9-AB6B-1934EEA5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345900" y="620017"/>
          <a:ext cx="1714500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lcsc.com/product-detail/FFC-FPC-Connectors_HRS-Hirose-FH34SRJ-12S-0-5SH-50_C424659.html" TargetMode="External"/><Relationship Id="rId7" Type="http://schemas.openxmlformats.org/officeDocument/2006/relationships/hyperlink" Target="https://lcsc.com/product-detail/Chip-Resistor-Surface-Mount_Viking-Tech-ARG03DTC6402N_C2902643.html" TargetMode="External"/><Relationship Id="rId2" Type="http://schemas.openxmlformats.org/officeDocument/2006/relationships/hyperlink" Target="https://lcsc.com/product-detail/Multilayer-Ceramic-Capacitors-MLCC-SMD-SMT_YAGEO-CC0402KRX5R7BB105_C325464.html" TargetMode="External"/><Relationship Id="rId1" Type="http://schemas.openxmlformats.org/officeDocument/2006/relationships/hyperlink" Target="https://lcsc.com/product-detail/Multilayer-Ceramic-Capacitors-MLCC-SMD-SMT_Samsung-Electro-Mechanics-CL05B104KB54PNC_C307331.html" TargetMode="External"/><Relationship Id="rId6" Type="http://schemas.openxmlformats.org/officeDocument/2006/relationships/hyperlink" Target="https://lcsc.com/product-detail/Operational-Amplifier_STMicroelectronics-LM324DT_C71035.html" TargetMode="External"/><Relationship Id="rId5" Type="http://schemas.openxmlformats.org/officeDocument/2006/relationships/hyperlink" Target="https://lcsc.com/product-detail/Operational-Amplifier_TECH-PUBLIC-TPMCP6021T-E-OT_C2923365.html" TargetMode="External"/><Relationship Id="rId4" Type="http://schemas.openxmlformats.org/officeDocument/2006/relationships/hyperlink" Target="https://lcsc.com/product-detail/FFC-FPC-Connectors_HRS-Hirose-FH12-24S-0-5SH-55_C202112.html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9"/>
  <sheetViews>
    <sheetView tabSelected="1" topLeftCell="A2" workbookViewId="0">
      <selection activeCell="C23" sqref="C23"/>
    </sheetView>
  </sheetViews>
  <sheetFormatPr defaultRowHeight="15" x14ac:dyDescent="0.25"/>
  <cols>
    <col min="2" max="2" width="3.140625" style="25" customWidth="1"/>
    <col min="3" max="3" width="36" bestFit="1" customWidth="1"/>
    <col min="4" max="4" width="23.5703125" customWidth="1"/>
    <col min="5" max="5" width="22.42578125" customWidth="1"/>
    <col min="6" max="6" width="29.42578125" bestFit="1" customWidth="1"/>
    <col min="7" max="7" width="20.85546875" bestFit="1" customWidth="1"/>
    <col min="8" max="8" width="18.85546875" bestFit="1" customWidth="1"/>
    <col min="9" max="9" width="18.85546875" customWidth="1"/>
    <col min="10" max="10" width="9.7109375" bestFit="1" customWidth="1"/>
    <col min="11" max="11" width="26.85546875" bestFit="1" customWidth="1"/>
    <col min="12" max="12" width="17.85546875" bestFit="1" customWidth="1"/>
    <col min="13" max="13" width="26.85546875" bestFit="1" customWidth="1"/>
    <col min="14" max="14" width="5.5703125" bestFit="1" customWidth="1"/>
    <col min="15" max="15" width="17.7109375" bestFit="1" customWidth="1"/>
    <col min="16" max="16" width="18.28515625" bestFit="1" customWidth="1"/>
    <col min="17" max="18" width="26.85546875" bestFit="1" customWidth="1"/>
  </cols>
  <sheetData>
    <row r="1" spans="1:18" ht="15.75" thickBot="1" x14ac:dyDescent="0.3">
      <c r="A1" s="1"/>
      <c r="B1" s="19"/>
      <c r="C1" s="2"/>
      <c r="D1" s="2"/>
      <c r="E1" s="2"/>
      <c r="F1" s="2"/>
      <c r="G1" s="2"/>
      <c r="H1" s="2"/>
      <c r="I1" s="2"/>
      <c r="J1" s="100"/>
      <c r="K1" s="101"/>
    </row>
    <row r="2" spans="1:18" ht="32.25" thickBot="1" x14ac:dyDescent="0.3">
      <c r="A2" s="1"/>
      <c r="B2" s="20"/>
      <c r="C2" s="10" t="s">
        <v>0</v>
      </c>
      <c r="D2" s="10"/>
      <c r="E2" s="26" t="s">
        <v>7</v>
      </c>
      <c r="F2" s="11"/>
      <c r="G2" s="11"/>
      <c r="H2" s="3"/>
      <c r="I2" s="3"/>
      <c r="J2" s="92"/>
      <c r="K2" s="92"/>
      <c r="L2" s="92"/>
      <c r="M2" s="92"/>
      <c r="N2" s="92"/>
      <c r="O2" s="92"/>
      <c r="P2" s="92"/>
      <c r="Q2" s="92"/>
      <c r="R2" s="93"/>
    </row>
    <row r="3" spans="1:18" ht="15.75" x14ac:dyDescent="0.25">
      <c r="A3" s="1"/>
      <c r="B3" s="21"/>
      <c r="C3" s="12" t="s">
        <v>1</v>
      </c>
      <c r="D3" s="12"/>
      <c r="E3" s="27" t="s">
        <v>8</v>
      </c>
      <c r="F3" s="12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90"/>
    </row>
    <row r="4" spans="1:18" ht="15.75" x14ac:dyDescent="0.25">
      <c r="A4" s="1"/>
      <c r="B4" s="21"/>
      <c r="C4" s="12" t="s">
        <v>2</v>
      </c>
      <c r="D4" s="12"/>
      <c r="E4" s="28" t="s">
        <v>8</v>
      </c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6"/>
      <c r="R4" s="91"/>
    </row>
    <row r="5" spans="1:18" ht="15.75" x14ac:dyDescent="0.25">
      <c r="A5" s="1"/>
      <c r="B5" s="21"/>
      <c r="C5" s="12" t="s">
        <v>3</v>
      </c>
      <c r="D5" s="12"/>
      <c r="E5" s="29" t="s">
        <v>9</v>
      </c>
      <c r="F5" s="14"/>
      <c r="G5" s="14"/>
      <c r="H5" s="5"/>
      <c r="I5" s="5"/>
      <c r="J5" s="5"/>
      <c r="K5" s="5"/>
      <c r="L5" s="5"/>
      <c r="M5" s="5"/>
      <c r="N5" s="5"/>
      <c r="O5" s="5"/>
      <c r="P5" s="5"/>
      <c r="Q5" s="5"/>
      <c r="R5" s="91"/>
    </row>
    <row r="6" spans="1:18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"/>
      <c r="M6" s="5"/>
      <c r="N6" s="5"/>
      <c r="O6" s="5"/>
      <c r="P6" s="5"/>
      <c r="Q6" s="5"/>
      <c r="R6" s="91"/>
    </row>
    <row r="7" spans="1:18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91"/>
    </row>
    <row r="8" spans="1:18" ht="15.75" thickBot="1" x14ac:dyDescent="0.3">
      <c r="A8" s="1"/>
      <c r="B8" s="36"/>
      <c r="C8" s="37"/>
      <c r="D8" s="37"/>
      <c r="E8" s="38"/>
      <c r="F8" s="17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91"/>
    </row>
    <row r="9" spans="1:18" ht="15.75" thickBot="1" x14ac:dyDescent="0.3">
      <c r="A9" s="1"/>
      <c r="B9" s="33" t="s">
        <v>4</v>
      </c>
      <c r="C9" s="32" t="s">
        <v>10</v>
      </c>
      <c r="D9" s="33" t="s">
        <v>18</v>
      </c>
      <c r="E9" s="32" t="s">
        <v>27</v>
      </c>
      <c r="F9" s="33" t="s">
        <v>34</v>
      </c>
      <c r="G9" s="32" t="s">
        <v>52</v>
      </c>
      <c r="H9" s="33" t="s">
        <v>39</v>
      </c>
      <c r="I9" s="32" t="s">
        <v>53</v>
      </c>
      <c r="J9" s="33" t="s">
        <v>46</v>
      </c>
      <c r="K9" s="47" t="s">
        <v>54</v>
      </c>
      <c r="L9" s="33" t="s">
        <v>55</v>
      </c>
      <c r="M9" s="45" t="s">
        <v>56</v>
      </c>
      <c r="N9" s="33" t="s">
        <v>57</v>
      </c>
      <c r="O9" s="32" t="s">
        <v>58</v>
      </c>
      <c r="P9" s="33" t="s">
        <v>59</v>
      </c>
      <c r="Q9" s="33" t="s">
        <v>60</v>
      </c>
      <c r="R9" s="47" t="s">
        <v>61</v>
      </c>
    </row>
    <row r="10" spans="1:18" ht="25.5" x14ac:dyDescent="0.25">
      <c r="A10" s="1"/>
      <c r="B10" s="73">
        <f>ROW(B10) - ROW($B$9)</f>
        <v>1</v>
      </c>
      <c r="C10" s="102" t="s">
        <v>75</v>
      </c>
      <c r="D10" s="77" t="s">
        <v>19</v>
      </c>
      <c r="E10" s="39" t="s">
        <v>28</v>
      </c>
      <c r="F10" s="81" t="s">
        <v>35</v>
      </c>
      <c r="G10" s="39" t="s">
        <v>62</v>
      </c>
      <c r="H10" s="77" t="s">
        <v>40</v>
      </c>
      <c r="I10" s="39" t="s">
        <v>63</v>
      </c>
      <c r="J10" s="77" t="s">
        <v>47</v>
      </c>
      <c r="K10" s="48">
        <v>2</v>
      </c>
      <c r="L10" s="40">
        <f>K10*5</f>
        <v>10</v>
      </c>
      <c r="M10" s="60">
        <v>50</v>
      </c>
      <c r="N10" s="69" t="s">
        <v>64</v>
      </c>
      <c r="O10" s="64">
        <v>7.3000000000000001E-3</v>
      </c>
      <c r="P10" s="58">
        <f>O10*M10</f>
        <v>0.36499999999999999</v>
      </c>
      <c r="Q10" s="53"/>
      <c r="R10" s="48"/>
    </row>
    <row r="11" spans="1:18" x14ac:dyDescent="0.25">
      <c r="A11" s="1"/>
      <c r="B11" s="74">
        <f>ROW(B11) - ROW($B$9)</f>
        <v>2</v>
      </c>
      <c r="C11" s="34" t="s">
        <v>11</v>
      </c>
      <c r="D11" s="78" t="s">
        <v>20</v>
      </c>
      <c r="E11" s="34" t="s">
        <v>28</v>
      </c>
      <c r="F11" s="78" t="s">
        <v>36</v>
      </c>
      <c r="G11" s="82" t="s">
        <v>66</v>
      </c>
      <c r="H11" s="78" t="s">
        <v>41</v>
      </c>
      <c r="I11" s="34" t="s">
        <v>65</v>
      </c>
      <c r="J11" s="78" t="s">
        <v>48</v>
      </c>
      <c r="K11" s="49">
        <v>2</v>
      </c>
      <c r="L11" s="31">
        <f t="shared" ref="L11:L17" si="0">K11*5</f>
        <v>10</v>
      </c>
      <c r="M11" s="61">
        <v>50</v>
      </c>
      <c r="N11" s="70" t="s">
        <v>64</v>
      </c>
      <c r="O11" s="65">
        <v>6.4000000000000003E-3</v>
      </c>
      <c r="P11" s="71">
        <f t="shared" ref="P11:P17" si="1">O11*M11</f>
        <v>0.32</v>
      </c>
      <c r="Q11" s="54"/>
      <c r="R11" s="49"/>
    </row>
    <row r="12" spans="1:18" ht="25.5" x14ac:dyDescent="0.25">
      <c r="A12" s="1"/>
      <c r="B12" s="74">
        <f>ROW(B12) - ROW($B$9)</f>
        <v>3</v>
      </c>
      <c r="C12" s="35" t="s">
        <v>12</v>
      </c>
      <c r="D12" s="79" t="s">
        <v>21</v>
      </c>
      <c r="E12" s="35" t="s">
        <v>50</v>
      </c>
      <c r="F12" s="79" t="s">
        <v>29</v>
      </c>
      <c r="G12" s="67" t="s">
        <v>66</v>
      </c>
      <c r="H12" s="79" t="s">
        <v>42</v>
      </c>
      <c r="I12" s="35" t="s">
        <v>68</v>
      </c>
      <c r="J12" s="56" t="s">
        <v>51</v>
      </c>
      <c r="K12" s="50">
        <v>1</v>
      </c>
      <c r="L12" s="30">
        <f t="shared" si="0"/>
        <v>5</v>
      </c>
      <c r="M12" s="62">
        <v>6</v>
      </c>
      <c r="N12" s="88" t="s">
        <v>64</v>
      </c>
      <c r="O12" s="66">
        <v>0.56089999999999995</v>
      </c>
      <c r="P12" s="59">
        <f t="shared" si="1"/>
        <v>3.3653999999999997</v>
      </c>
      <c r="Q12" s="55"/>
      <c r="R12" s="50"/>
    </row>
    <row r="13" spans="1:18" x14ac:dyDescent="0.25">
      <c r="A13" s="1"/>
      <c r="B13" s="74">
        <f t="shared" ref="B13:B17" si="2">ROW(B13) - ROW($B$9)</f>
        <v>4</v>
      </c>
      <c r="C13" s="34" t="s">
        <v>13</v>
      </c>
      <c r="D13" s="78" t="s">
        <v>22</v>
      </c>
      <c r="E13" s="34" t="s">
        <v>50</v>
      </c>
      <c r="F13" s="78" t="s">
        <v>30</v>
      </c>
      <c r="G13" s="82" t="s">
        <v>66</v>
      </c>
      <c r="H13" s="78" t="s">
        <v>42</v>
      </c>
      <c r="I13" s="34" t="s">
        <v>67</v>
      </c>
      <c r="J13" s="84" t="s">
        <v>51</v>
      </c>
      <c r="K13" s="49">
        <v>1</v>
      </c>
      <c r="L13" s="31">
        <f t="shared" si="0"/>
        <v>5</v>
      </c>
      <c r="M13" s="61">
        <v>6</v>
      </c>
      <c r="N13" s="70" t="s">
        <v>64</v>
      </c>
      <c r="O13" s="65">
        <v>0.1893</v>
      </c>
      <c r="P13" s="71">
        <f t="shared" si="1"/>
        <v>1.1357999999999999</v>
      </c>
      <c r="Q13" s="54"/>
      <c r="R13" s="49"/>
    </row>
    <row r="14" spans="1:18" ht="25.5" x14ac:dyDescent="0.25">
      <c r="A14" s="1"/>
      <c r="B14" s="74">
        <f>ROW(B14) - ROW($B$9)</f>
        <v>5</v>
      </c>
      <c r="C14" s="35" t="s">
        <v>14</v>
      </c>
      <c r="D14" s="79" t="s">
        <v>23</v>
      </c>
      <c r="E14" s="35" t="s">
        <v>50</v>
      </c>
      <c r="F14" s="56" t="s">
        <v>51</v>
      </c>
      <c r="G14" s="67" t="s">
        <v>66</v>
      </c>
      <c r="H14" s="56" t="s">
        <v>51</v>
      </c>
      <c r="I14" s="67" t="s">
        <v>66</v>
      </c>
      <c r="J14" s="56" t="s">
        <v>51</v>
      </c>
      <c r="K14" s="50">
        <v>19</v>
      </c>
      <c r="L14" s="30">
        <f t="shared" si="0"/>
        <v>95</v>
      </c>
      <c r="M14" s="46" t="s">
        <v>51</v>
      </c>
      <c r="N14" s="56" t="s">
        <v>66</v>
      </c>
      <c r="O14" s="67" t="s">
        <v>51</v>
      </c>
      <c r="P14" s="56" t="s">
        <v>51</v>
      </c>
      <c r="Q14" s="56" t="s">
        <v>66</v>
      </c>
      <c r="R14" s="51" t="s">
        <v>51</v>
      </c>
    </row>
    <row r="15" spans="1:18" ht="63.75" x14ac:dyDescent="0.25">
      <c r="A15" s="1"/>
      <c r="B15" s="74">
        <f>ROW(B15) - ROW($B$9)</f>
        <v>6</v>
      </c>
      <c r="C15" s="34" t="s">
        <v>15</v>
      </c>
      <c r="D15" s="78" t="s">
        <v>24</v>
      </c>
      <c r="E15" s="34" t="s">
        <v>31</v>
      </c>
      <c r="F15" s="78" t="s">
        <v>71</v>
      </c>
      <c r="G15" s="82" t="s">
        <v>66</v>
      </c>
      <c r="H15" s="78" t="s">
        <v>43</v>
      </c>
      <c r="I15" s="34" t="s">
        <v>72</v>
      </c>
      <c r="J15" s="78" t="s">
        <v>49</v>
      </c>
      <c r="K15" s="49">
        <v>2</v>
      </c>
      <c r="L15" s="31">
        <f t="shared" si="0"/>
        <v>10</v>
      </c>
      <c r="M15" s="61">
        <v>50</v>
      </c>
      <c r="N15" s="70" t="s">
        <v>64</v>
      </c>
      <c r="O15" s="65">
        <v>1.2699999999999999E-2</v>
      </c>
      <c r="P15" s="71">
        <f t="shared" si="1"/>
        <v>0.63500000000000001</v>
      </c>
      <c r="Q15" s="54"/>
      <c r="R15" s="49"/>
    </row>
    <row r="16" spans="1:18" ht="25.5" x14ac:dyDescent="0.25">
      <c r="A16" s="1"/>
      <c r="B16" s="74">
        <f>ROW(B16) - ROW($B$9)</f>
        <v>7</v>
      </c>
      <c r="C16" s="35" t="s">
        <v>16</v>
      </c>
      <c r="D16" s="79" t="s">
        <v>25</v>
      </c>
      <c r="E16" s="35" t="s">
        <v>32</v>
      </c>
      <c r="F16" s="79" t="s">
        <v>37</v>
      </c>
      <c r="G16" s="67" t="s">
        <v>66</v>
      </c>
      <c r="H16" s="79" t="s">
        <v>44</v>
      </c>
      <c r="I16" s="35" t="s">
        <v>69</v>
      </c>
      <c r="J16" s="56" t="s">
        <v>51</v>
      </c>
      <c r="K16" s="50">
        <v>1</v>
      </c>
      <c r="L16" s="30">
        <f t="shared" si="0"/>
        <v>5</v>
      </c>
      <c r="M16" s="62">
        <v>6</v>
      </c>
      <c r="N16" s="88" t="s">
        <v>64</v>
      </c>
      <c r="O16" s="66">
        <v>0.44180000000000003</v>
      </c>
      <c r="P16" s="59">
        <f t="shared" si="1"/>
        <v>2.6508000000000003</v>
      </c>
      <c r="Q16" s="55"/>
      <c r="R16" s="50"/>
    </row>
    <row r="17" spans="1:18" ht="15.75" thickBot="1" x14ac:dyDescent="0.3">
      <c r="A17" s="1"/>
      <c r="B17" s="75">
        <f t="shared" si="2"/>
        <v>8</v>
      </c>
      <c r="C17" s="76" t="s">
        <v>17</v>
      </c>
      <c r="D17" s="80" t="s">
        <v>26</v>
      </c>
      <c r="E17" s="76" t="s">
        <v>33</v>
      </c>
      <c r="F17" s="80" t="s">
        <v>38</v>
      </c>
      <c r="G17" s="83" t="s">
        <v>66</v>
      </c>
      <c r="H17" s="80" t="s">
        <v>45</v>
      </c>
      <c r="I17" s="76" t="s">
        <v>70</v>
      </c>
      <c r="J17" s="85" t="s">
        <v>51</v>
      </c>
      <c r="K17" s="52">
        <v>2</v>
      </c>
      <c r="L17" s="41">
        <f t="shared" si="0"/>
        <v>10</v>
      </c>
      <c r="M17" s="63">
        <v>6</v>
      </c>
      <c r="N17" s="89" t="s">
        <v>64</v>
      </c>
      <c r="O17" s="68">
        <v>0.15240000000000001</v>
      </c>
      <c r="P17" s="72">
        <f t="shared" si="1"/>
        <v>0.9144000000000001</v>
      </c>
      <c r="Q17" s="57"/>
      <c r="R17" s="52"/>
    </row>
    <row r="18" spans="1:18" ht="19.5" thickBot="1" x14ac:dyDescent="0.3">
      <c r="A18" s="1"/>
      <c r="B18" s="42"/>
      <c r="C18" s="43" t="s">
        <v>5</v>
      </c>
      <c r="D18" s="44"/>
      <c r="E18" s="96"/>
      <c r="F18" s="96"/>
      <c r="G18" s="96"/>
      <c r="H18" s="96"/>
      <c r="I18" s="96"/>
      <c r="J18" s="96"/>
      <c r="K18" s="96"/>
      <c r="L18" s="97"/>
      <c r="M18" s="94" t="s">
        <v>73</v>
      </c>
      <c r="N18" s="95"/>
      <c r="O18" s="95"/>
      <c r="P18" s="86">
        <f>SUM(P10:P17)</f>
        <v>9.3864000000000001</v>
      </c>
      <c r="Q18" s="96"/>
      <c r="R18" s="97"/>
    </row>
    <row r="19" spans="1:18" ht="19.5" thickBot="1" x14ac:dyDescent="0.3">
      <c r="A19" s="1"/>
      <c r="B19" s="24"/>
      <c r="C19" s="8" t="s">
        <v>6</v>
      </c>
      <c r="D19" s="9"/>
      <c r="E19" s="98"/>
      <c r="F19" s="98"/>
      <c r="G19" s="98"/>
      <c r="H19" s="98"/>
      <c r="I19" s="98"/>
      <c r="J19" s="98"/>
      <c r="K19" s="98"/>
      <c r="L19" s="99"/>
      <c r="M19" s="94" t="s">
        <v>74</v>
      </c>
      <c r="N19" s="95"/>
      <c r="O19" s="95"/>
      <c r="P19" s="87">
        <f>P18/5</f>
        <v>1.8772800000000001</v>
      </c>
      <c r="Q19" s="98"/>
      <c r="R19" s="99"/>
    </row>
  </sheetData>
  <mergeCells count="7">
    <mergeCell ref="J1:K1"/>
    <mergeCell ref="R3:R8"/>
    <mergeCell ref="J2:R2"/>
    <mergeCell ref="M18:O18"/>
    <mergeCell ref="M19:O19"/>
    <mergeCell ref="E18:L19"/>
    <mergeCell ref="Q18:R19"/>
  </mergeCells>
  <hyperlinks>
    <hyperlink ref="N10" r:id="rId1" xr:uid="{100462C4-FA8F-4D16-8168-575F3EAD1350}"/>
    <hyperlink ref="N11" r:id="rId2" xr:uid="{CC1A75C7-134E-4E20-A6A5-5C056D4918B2}"/>
    <hyperlink ref="N13" r:id="rId3" xr:uid="{FFF28CE1-87AC-4ADE-A95E-16C393CFA042}"/>
    <hyperlink ref="N12" r:id="rId4" xr:uid="{8C9B39EB-942A-43DB-BCEF-D599850185D7}"/>
    <hyperlink ref="N16" r:id="rId5" xr:uid="{BB22E13A-9E79-4097-AC4F-F19B2F2754A8}"/>
    <hyperlink ref="N17" r:id="rId6" xr:uid="{DF4029E5-E8D3-4584-B881-A0621DBEE882}"/>
    <hyperlink ref="N15" r:id="rId7" xr:uid="{28F214EC-7847-4913-BF43-3F44A00C2675}"/>
  </hyperlinks>
  <pageMargins left="0.7" right="0.7" top="0.75" bottom="0.75" header="0.3" footer="0.3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2022-06-24T12:19:04Z</dcterms:modified>
</cp:coreProperties>
</file>