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EE8411F-4049-465B-86C7-F8DBE82A244A}" xr6:coauthVersionLast="47" xr6:coauthVersionMax="47" xr10:uidLastSave="{00000000-0000-0000-0000-000000000000}"/>
  <bookViews>
    <workbookView xWindow="-5685" yWindow="3795" windowWidth="11790" windowHeight="15360" activeTab="1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1" l="1"/>
  <c r="P12" i="1"/>
  <c r="P13" i="1"/>
  <c r="P24" i="1" s="1"/>
  <c r="P25" i="1" s="1"/>
  <c r="P14" i="1"/>
  <c r="P15" i="1"/>
  <c r="P17" i="1"/>
  <c r="P18" i="1"/>
  <c r="P19" i="1"/>
  <c r="P20" i="1"/>
  <c r="P21" i="1"/>
  <c r="P22" i="1"/>
  <c r="P23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10" i="1"/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<sst xmlns="http://schemas.openxmlformats.org/spreadsheetml/2006/main" count="177" uniqueCount="114">
  <si>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</si>
  <si>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</si>
  <si>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</si>
  <si>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</si>
  <si>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</si>
  <si>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</si>
  <si>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</si>
  <si>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[ArmBand-Sensor-Board.PrjPcb] (No PCB Document Selected)</t>
  </si>
  <si>
    <t>ArmBand-Sensor-Board.PrjPcb</t>
  </si>
  <si>
    <t>None</t>
  </si>
  <si>
    <t>Designator</t>
  </si>
  <si>
    <t>C1, C22, C46, C48, C50, C54, C56, C58, C60, C65, C66, C67, C68, C73, C74, C75, C76</t>
  </si>
  <si>
    <t>C16, C45, C47, C49, C53, C55, C57, C59</t>
  </si>
  <si>
    <t>C51, C52</t>
  </si>
  <si>
    <t>C61, C62, C63, C64, C69, C70, C71, C72</t>
  </si>
  <si>
    <t>J1</t>
  </si>
  <si>
    <t>J2</t>
  </si>
  <si>
    <t>P1, P2, P3, P4, P5, P6, P7, P8, P9, P10, P11, P12, P13, P14, P15, P16, P17, P18, P19</t>
  </si>
  <si>
    <t>R17, R18, R19, R20, R21, R22, R23, R24</t>
  </si>
  <si>
    <t>R25, R26</t>
  </si>
  <si>
    <t>R27, R28, R29, R30, R35, R36, R37, R38</t>
  </si>
  <si>
    <t>R31, R32, R33, R34, R39, R40, R41, R42</t>
  </si>
  <si>
    <t>U8, U9, U10, U11, U12, U13, U14, U15</t>
  </si>
  <si>
    <t>U16</t>
  </si>
  <si>
    <t>U17, U18</t>
  </si>
  <si>
    <t>Description</t>
  </si>
  <si>
    <t>CAP CER 0.1UF 50V X7R 0402</t>
  </si>
  <si>
    <t>CAP CER 10UF 25V X5R 0603</t>
  </si>
  <si>
    <t>CAP CER 1UF 16V X5R 0402</t>
  </si>
  <si>
    <t>Cap Ceramic 0.022uF 25V X7R 10% Pad SMD 0402</t>
  </si>
  <si>
    <t>CONN FFC BOTTOM 24POS 0.50MM R/A</t>
  </si>
  <si>
    <t>CONN FPC/FFC 12POS .5MM</t>
  </si>
  <si>
    <t>Test Point ON</t>
  </si>
  <si>
    <t>RES SMD 0402 240 Ohm 1% 1/16W ±100ppm/°C Molded SMD Paper T/R</t>
  </si>
  <si>
    <t>1/10W Thin Film Resistor 75V ±0.5% ±25ppm/℃ -55℃~+155℃ 64kΩ 0603 Chip Resistor - Surface Mount ROHS</t>
  </si>
  <si>
    <t>Res Thick Film 0402 6.8K Ohm 5% 0.063W(1/16W) ±100ppm/C Pad SMD T/R</t>
  </si>
  <si>
    <t>RES SMD 0402 150kOhm 5% Paper T/R</t>
  </si>
  <si>
    <t>IC OPAMP INSTR 825KHZ 8SOIC</t>
  </si>
  <si>
    <t>SOT-23-5 Operational Amplifier ROHS</t>
  </si>
  <si>
    <t>IC OPAMP GP 1.3MHZ 14SO</t>
  </si>
  <si>
    <t>Footprint</t>
  </si>
  <si>
    <t>Cap 0402</t>
  </si>
  <si>
    <t>Cap0603</t>
  </si>
  <si>
    <t>FH12-24S-0.5SH(55)</t>
  </si>
  <si>
    <t>FH34SRJ-12S-0.5SH(50)</t>
  </si>
  <si>
    <t>Res0402</t>
  </si>
  <si>
    <t>Res0603</t>
  </si>
  <si>
    <t>SOIC-8</t>
  </si>
  <si>
    <t>SOT-23-5</t>
  </si>
  <si>
    <t>SO-14</t>
  </si>
  <si>
    <t>Manufacturer Part Number</t>
  </si>
  <si>
    <t>GRM155R71H104ME14D</t>
  </si>
  <si>
    <t>CL10A106MA8NRNC</t>
  </si>
  <si>
    <t>CC0402KRX5R7BB105</t>
  </si>
  <si>
    <t>CGA2B2X7R1E223K050BA</t>
  </si>
  <si>
    <t>RC0402FR-07240RL</t>
  </si>
  <si>
    <t>RC0402JR-076K8L</t>
  </si>
  <si>
    <t>RC0402JR-07150KL</t>
  </si>
  <si>
    <t>AD8221ARZ-R7</t>
  </si>
  <si>
    <t>TPMCP6021T-E/OT</t>
  </si>
  <si>
    <t>LM324DT</t>
  </si>
  <si>
    <t>Manufacturer</t>
  </si>
  <si>
    <t>Murata</t>
  </si>
  <si>
    <t>Samsung</t>
  </si>
  <si>
    <t>Yageo</t>
  </si>
  <si>
    <t>TDK</t>
  </si>
  <si>
    <t>Hirose</t>
  </si>
  <si>
    <t>iking Tech</t>
  </si>
  <si>
    <t>Analog Devices</t>
  </si>
  <si>
    <t>TECH PUBLIC</t>
  </si>
  <si>
    <t>STMicroelectronics</t>
  </si>
  <si>
    <t>Comment</t>
  </si>
  <si>
    <t>0.1uF</t>
  </si>
  <si>
    <t>10uF'</t>
  </si>
  <si>
    <t>1uF</t>
  </si>
  <si>
    <t>22nF</t>
  </si>
  <si>
    <t>240R</t>
  </si>
  <si>
    <t>64K</t>
  </si>
  <si>
    <t>6K8</t>
  </si>
  <si>
    <t>150K</t>
  </si>
  <si>
    <t>Custom</t>
  </si>
  <si>
    <t>----------</t>
  </si>
  <si>
    <t xml:space="preserve">Alternate Part No </t>
  </si>
  <si>
    <t>LCSC/Part No</t>
  </si>
  <si>
    <t>Quantity (1 Board)</t>
  </si>
  <si>
    <t>Quantity (5Boards)</t>
  </si>
  <si>
    <t>LCSC/MOQ/5 Boards</t>
  </si>
  <si>
    <t>Links</t>
  </si>
  <si>
    <t>Unit Cost/5 Boards</t>
  </si>
  <si>
    <t>Total Cost/5 Boards</t>
  </si>
  <si>
    <t>Remarks</t>
  </si>
  <si>
    <t xml:space="preserve">Reviewer Remarks </t>
  </si>
  <si>
    <t>CL05B104KB54PNC</t>
  </si>
  <si>
    <t>C307331</t>
  </si>
  <si>
    <t>LCSC</t>
  </si>
  <si>
    <t>C325464</t>
  </si>
  <si>
    <t>---------</t>
  </si>
  <si>
    <t>--------</t>
  </si>
  <si>
    <t>C2922482</t>
  </si>
  <si>
    <t>C424659</t>
  </si>
  <si>
    <t>C114755</t>
  </si>
  <si>
    <t>C202112</t>
  </si>
  <si>
    <t>C137847</t>
  </si>
  <si>
    <t>C137919</t>
  </si>
  <si>
    <t>C13342</t>
  </si>
  <si>
    <t>C2923365</t>
  </si>
  <si>
    <t>C71035</t>
  </si>
  <si>
    <t>ARG03DTC6402N</t>
  </si>
  <si>
    <t>C2902643</t>
  </si>
  <si>
    <t xml:space="preserve">Total Component Cost </t>
  </si>
  <si>
    <t>Single Board Cost</t>
  </si>
  <si>
    <t xml:space="preserve">Need Low Price Link @urooj </t>
  </si>
  <si>
    <t>CGA2B2X7R1E223KT0Y0F</t>
  </si>
  <si>
    <t>C76703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</si>
</sst>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2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1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2" xfId="0" quotePrefix="1" applyFont="1" applyFill="1" applyBorder="1" applyAlignment="1">
      <alignment vertical="center"/>
    </xf>
    <xf numFmtId="0" fontId="14" fillId="3" borderId="0" xfId="0" quotePrefix="1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11" xfId="0" applyNumberFormat="1" applyFont="1" applyFill="1" applyBorder="1" applyAlignment="1" applyProtection="1">
      <alignment vertical="center"/>
      <protection locked="0"/>
    </xf>
    <xf numFmtId="0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7" fillId="5" borderId="19" xfId="0" applyFont="1" applyFill="1" applyBorder="1" applyAlignment="1">
      <alignment horizontal="center" vertical="center"/>
    </xf>
    <xf numFmtId="0" fontId="11" fillId="2" borderId="24" xfId="0" quotePrefix="1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1" fillId="2" borderId="27" xfId="0" quotePrefix="1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1" fillId="2" borderId="29" xfId="0" quotePrefix="1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/>
    </xf>
    <xf numFmtId="165" fontId="16" fillId="0" borderId="28" xfId="0" applyNumberFormat="1" applyFont="1" applyBorder="1" applyAlignment="1">
      <alignment horizontal="center" vertical="center"/>
    </xf>
    <xf numFmtId="165" fontId="16" fillId="0" borderId="29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/>
    </xf>
    <xf numFmtId="0" fontId="20" fillId="2" borderId="28" xfId="1" applyFont="1" applyFill="1" applyBorder="1" applyAlignment="1">
      <alignment horizontal="center" vertical="center"/>
    </xf>
    <xf numFmtId="0" fontId="20" fillId="4" borderId="29" xfId="1" applyFont="1" applyFill="1" applyBorder="1" applyAlignment="1">
      <alignment horizontal="center" vertical="center"/>
    </xf>
    <xf numFmtId="0" fontId="20" fillId="2" borderId="29" xfId="1" applyFont="1" applyFill="1" applyBorder="1" applyAlignment="1">
      <alignment horizontal="center" vertical="center"/>
    </xf>
    <xf numFmtId="165" fontId="16" fillId="4" borderId="29" xfId="0" applyNumberFormat="1" applyFont="1" applyFill="1" applyBorder="1" applyAlignment="1">
      <alignment horizontal="center" vertical="center"/>
    </xf>
    <xf numFmtId="165" fontId="16" fillId="4" borderId="20" xfId="0" applyNumberFormat="1" applyFont="1" applyFill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 wrapText="1"/>
    </xf>
    <xf numFmtId="0" fontId="17" fillId="5" borderId="2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1" fillId="4" borderId="29" xfId="0" quotePrefix="1" applyFont="1" applyFill="1" applyBorder="1" applyAlignment="1">
      <alignment horizontal="center" vertical="center" wrapText="1"/>
    </xf>
    <xf numFmtId="0" fontId="11" fillId="4" borderId="20" xfId="0" quotePrefix="1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/>
    </xf>
    <xf numFmtId="166" fontId="14" fillId="3" borderId="30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4" borderId="20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1" fillId="3" borderId="19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16" fillId="3" borderId="1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2</xdr:row>
      <xdr:rowOff>10417</xdr:rowOff>
    </xdr:from>
    <xdr:ext cx="1714500" cy="1104008"/>
    <xdr:pic>
      <xdr:nvPicPr>
        <xdr:cNvPr id="9" name="Picture 8">
          <a:extLst>
            <a:ext uri="{FF2B5EF4-FFF2-40B4-BE49-F238E27FC236}">
              <a16:creationId xmlns:a16="http://schemas.microsoft.com/office/drawing/2014/main" id="{52A8BB7C-E0AB-4CE9-AB6B-1934EEA5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345900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YAGEO-RC0402JR-07150KL_C137919.html" TargetMode="External"/><Relationship Id="rId13" Type="http://schemas.openxmlformats.org/officeDocument/2006/relationships/hyperlink" Target="https://lcsc.com/product-detail/Multilayer-Ceramic-Capacitors-MLCC-SMD-SMT_TDK-CGA2B2X7R1E223KT0Y0F_C76703.html" TargetMode="External"/><Relationship Id="rId3" Type="http://schemas.openxmlformats.org/officeDocument/2006/relationships/hyperlink" Target="https://lcsc.com/product-detail/Multilayer-Ceramic-Capacitors-MLCC-SMD-SMT_Samsung-Electro-Mechanics-CL10A106MA8NRNC_C2922482.html" TargetMode="External"/><Relationship Id="rId7" Type="http://schemas.openxmlformats.org/officeDocument/2006/relationships/hyperlink" Target="https://lcsc.com/product-detail/Chip-Resistor-Surface-Mount_YAGEO-RC0402JR-076K8L_C137847.html" TargetMode="External"/><Relationship Id="rId12" Type="http://schemas.openxmlformats.org/officeDocument/2006/relationships/hyperlink" Target="https://lcsc.com/product-detail/Chip-Resistor-Surface-Mount_Viking-Tech-ARG03DTC6402N_C2902643.html" TargetMode="External"/><Relationship Id="rId2" Type="http://schemas.openxmlformats.org/officeDocument/2006/relationships/hyperlink" Target="https://lcsc.com/product-detail/Multilayer-Ceramic-Capacitors-MLCC-SMD-SMT_YAGEO-CC0402KRX5R7BB105_C325464.html" TargetMode="External"/><Relationship Id="rId1" Type="http://schemas.openxmlformats.org/officeDocument/2006/relationships/hyperlink" Target="https://lcsc.com/product-detail/Multilayer-Ceramic-Capacitors-MLCC-SMD-SMT_Samsung-Electro-Mechanics-CL05B104KB54PNC_C307331.html" TargetMode="External"/><Relationship Id="rId6" Type="http://schemas.openxmlformats.org/officeDocument/2006/relationships/hyperlink" Target="https://lcsc.com/product-detail/FFC-FPC-Connectors_HRS-Hirose-FH12-24S-0-5SH-55_C202112.html" TargetMode="External"/><Relationship Id="rId11" Type="http://schemas.openxmlformats.org/officeDocument/2006/relationships/hyperlink" Target="https://lcsc.com/product-detail/Operational-Amplifier_STMicroelectronics-LM324DT_C71035.html" TargetMode="External"/><Relationship Id="rId5" Type="http://schemas.openxmlformats.org/officeDocument/2006/relationships/hyperlink" Target="https://lcsc.com/product-detail/Chip-Resistor-Surface-Mount_YAGEO-RC0402FR-07240RL_C114755.html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lcsc.com/product-detail/Operational-Amplifier_TECH-PUBLIC-TPMCP6021T-E-OT_C2923365.html" TargetMode="External"/><Relationship Id="rId4" Type="http://schemas.openxmlformats.org/officeDocument/2006/relationships/hyperlink" Target="https://lcsc.com/product-detail/FFC-FPC-Connectors_HRS-Hirose-FH34SRJ-12S-0-5SH-50_C424659.html" TargetMode="External"/><Relationship Id="rId9" Type="http://schemas.openxmlformats.org/officeDocument/2006/relationships/hyperlink" Target="https://lcsc.com/product-detail/Instrumentation-OpAmps_Analog-Devices-AD8221ARZ-R7_C13342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5"/>
  <sheetViews>
    <sheetView topLeftCell="H1" workbookViewId="0">
      <selection activeCell="I9" sqref="I9:M23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3.5703125" customWidth="1"/>
    <col min="5" max="5" width="22.42578125" customWidth="1"/>
    <col min="6" max="6" width="29.42578125" bestFit="1" customWidth="1"/>
    <col min="7" max="7" width="20.85546875" bestFit="1" customWidth="1"/>
    <col min="8" max="8" width="18.85546875" bestFit="1" customWidth="1"/>
    <col min="9" max="9" width="18.85546875" customWidth="1"/>
    <col min="10" max="10" width="9.7109375" bestFit="1" customWidth="1"/>
    <col min="11" max="11" width="26.85546875" bestFit="1" customWidth="1"/>
    <col min="12" max="12" width="17.85546875" bestFit="1" customWidth="1"/>
    <col min="13" max="13" width="26.85546875" bestFit="1" customWidth="1"/>
    <col min="14" max="14" width="5.5703125" bestFit="1" customWidth="1"/>
    <col min="15" max="15" width="17.7109375" bestFit="1" customWidth="1"/>
    <col min="16" max="16" width="18.28515625" bestFit="1" customWidth="1"/>
    <col min="17" max="18" width="26.85546875" bestFit="1" customWidth="1"/>
  </cols>
  <sheetData>
    <row r="1" spans="1:18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103"/>
      <c r="K1" s="104"/>
    </row>
    <row r="2" spans="1:18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11"/>
      <c r="H2" s="3"/>
      <c r="I2" s="3"/>
      <c r="J2" s="95"/>
      <c r="K2" s="95"/>
      <c r="L2" s="95"/>
      <c r="M2" s="95"/>
      <c r="N2" s="95"/>
      <c r="O2" s="95"/>
      <c r="P2" s="95"/>
      <c r="Q2" s="95"/>
      <c r="R2" s="96"/>
    </row>
    <row r="3" spans="1:18" ht="15.75" x14ac:dyDescent="0.25">
      <c r="A3" s="1"/>
      <c r="B3" s="21"/>
      <c r="C3" s="12" t="s">
        <v>1</v>
      </c>
      <c r="D3" s="12"/>
      <c r="E3" s="27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93"/>
    </row>
    <row r="4" spans="1:18" ht="15.75" x14ac:dyDescent="0.25">
      <c r="A4" s="1"/>
      <c r="B4" s="21"/>
      <c r="C4" s="12" t="s">
        <v>2</v>
      </c>
      <c r="D4" s="12"/>
      <c r="E4" s="28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94"/>
    </row>
    <row r="5" spans="1:18" ht="15.75" x14ac:dyDescent="0.25">
      <c r="A5" s="1"/>
      <c r="B5" s="21"/>
      <c r="C5" s="12" t="s">
        <v>3</v>
      </c>
      <c r="D5" s="12"/>
      <c r="E5" s="29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5"/>
      <c r="R5" s="94"/>
    </row>
    <row r="6" spans="1:18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94"/>
    </row>
    <row r="7" spans="1:18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94"/>
    </row>
    <row r="8" spans="1:18" ht="15.75" thickBot="1" x14ac:dyDescent="0.3">
      <c r="A8" s="1"/>
      <c r="B8" s="36"/>
      <c r="C8" s="37"/>
      <c r="D8" s="37"/>
      <c r="E8" s="38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94"/>
    </row>
    <row r="9" spans="1:18" ht="15.75" thickBot="1" x14ac:dyDescent="0.3">
      <c r="A9" s="1"/>
      <c r="B9" s="33" t="s">
        <v>4</v>
      </c>
      <c r="C9" s="32" t="s">
        <v>10</v>
      </c>
      <c r="D9" s="33" t="s">
        <v>25</v>
      </c>
      <c r="E9" s="32" t="s">
        <v>40</v>
      </c>
      <c r="F9" s="33" t="s">
        <v>50</v>
      </c>
      <c r="G9" s="32" t="s">
        <v>82</v>
      </c>
      <c r="H9" s="33" t="s">
        <v>61</v>
      </c>
      <c r="I9" s="32" t="s">
        <v>83</v>
      </c>
      <c r="J9" s="33" t="s">
        <v>71</v>
      </c>
      <c r="K9" s="47" t="s">
        <v>84</v>
      </c>
      <c r="L9" s="33" t="s">
        <v>85</v>
      </c>
      <c r="M9" s="45" t="s">
        <v>86</v>
      </c>
      <c r="N9" s="33" t="s">
        <v>87</v>
      </c>
      <c r="O9" s="32" t="s">
        <v>88</v>
      </c>
      <c r="P9" s="33" t="s">
        <v>89</v>
      </c>
      <c r="Q9" s="33" t="s">
        <v>90</v>
      </c>
      <c r="R9" s="47" t="s">
        <v>91</v>
      </c>
    </row>
    <row r="10" spans="1:18" ht="25.5" x14ac:dyDescent="0.25">
      <c r="A10" s="1"/>
      <c r="B10" s="74">
        <f>ROW(B10) - ROW($B$9)</f>
        <v>1</v>
      </c>
      <c r="C10" s="39" t="s">
        <v>11</v>
      </c>
      <c r="D10" s="78" t="s">
        <v>26</v>
      </c>
      <c r="E10" s="39" t="s">
        <v>41</v>
      </c>
      <c r="F10" s="82" t="s">
        <v>51</v>
      </c>
      <c r="G10" s="39" t="s">
        <v>92</v>
      </c>
      <c r="H10" s="78" t="s">
        <v>62</v>
      </c>
      <c r="I10" s="39" t="s">
        <v>93</v>
      </c>
      <c r="J10" s="78" t="s">
        <v>72</v>
      </c>
      <c r="K10" s="48">
        <v>17</v>
      </c>
      <c r="L10" s="40">
        <f>K10*5</f>
        <v>85</v>
      </c>
      <c r="M10" s="60">
        <v>100</v>
      </c>
      <c r="N10" s="69" t="s">
        <v>94</v>
      </c>
      <c r="O10" s="64">
        <v>6.7000000000000002E-3</v>
      </c>
      <c r="P10" s="58">
        <f>O10*M10</f>
        <v>0.67</v>
      </c>
      <c r="Q10" s="53"/>
      <c r="R10" s="48"/>
    </row>
    <row r="11" spans="1:18" x14ac:dyDescent="0.25">
      <c r="A11" s="1"/>
      <c r="B11" s="75">
        <f t="shared" ref="B11:B23" si="0">ROW(B11) - ROW($B$9)</f>
        <v>2</v>
      </c>
      <c r="C11" s="34" t="s">
        <v>12</v>
      </c>
      <c r="D11" s="79" t="s">
        <v>27</v>
      </c>
      <c r="E11" s="34" t="s">
        <v>42</v>
      </c>
      <c r="F11" s="79" t="s">
        <v>52</v>
      </c>
      <c r="G11" s="84" t="s">
        <v>96</v>
      </c>
      <c r="H11" s="79" t="s">
        <v>63</v>
      </c>
      <c r="I11" s="34" t="s">
        <v>98</v>
      </c>
      <c r="J11" s="79" t="s">
        <v>73</v>
      </c>
      <c r="K11" s="49">
        <v>8</v>
      </c>
      <c r="L11" s="31">
        <f t="shared" ref="L11:L23" si="1">K11*5</f>
        <v>40</v>
      </c>
      <c r="M11" s="61">
        <v>60</v>
      </c>
      <c r="N11" s="70" t="s">
        <v>94</v>
      </c>
      <c r="O11" s="65">
        <v>1.3599999999999999E-2</v>
      </c>
      <c r="P11" s="72">
        <f t="shared" ref="P11:P23" si="2">O11*M11</f>
        <v>0.81599999999999995</v>
      </c>
      <c r="Q11" s="54"/>
      <c r="R11" s="49"/>
    </row>
    <row r="12" spans="1:18" x14ac:dyDescent="0.25">
      <c r="A12" s="1"/>
      <c r="B12" s="75">
        <f>ROW(B12) - ROW($B$9)</f>
        <v>3</v>
      </c>
      <c r="C12" s="35" t="s">
        <v>13</v>
      </c>
      <c r="D12" s="80" t="s">
        <v>28</v>
      </c>
      <c r="E12" s="35" t="s">
        <v>41</v>
      </c>
      <c r="F12" s="80" t="s">
        <v>53</v>
      </c>
      <c r="G12" s="67" t="s">
        <v>97</v>
      </c>
      <c r="H12" s="80" t="s">
        <v>64</v>
      </c>
      <c r="I12" s="35" t="s">
        <v>95</v>
      </c>
      <c r="J12" s="80" t="s">
        <v>74</v>
      </c>
      <c r="K12" s="50">
        <v>2</v>
      </c>
      <c r="L12" s="30">
        <f t="shared" si="1"/>
        <v>10</v>
      </c>
      <c r="M12" s="62">
        <v>50</v>
      </c>
      <c r="N12" s="71" t="s">
        <v>94</v>
      </c>
      <c r="O12" s="66">
        <v>6.4000000000000003E-3</v>
      </c>
      <c r="P12" s="59">
        <f t="shared" si="2"/>
        <v>0.32</v>
      </c>
      <c r="Q12" s="55"/>
      <c r="R12" s="50"/>
    </row>
    <row r="13" spans="1:18" ht="25.5" x14ac:dyDescent="0.25">
      <c r="A13" s="1"/>
      <c r="B13" s="75">
        <f t="shared" si="0"/>
        <v>4</v>
      </c>
      <c r="C13" s="34" t="s">
        <v>14</v>
      </c>
      <c r="D13" s="79" t="s">
        <v>29</v>
      </c>
      <c r="E13" s="34" t="s">
        <v>41</v>
      </c>
      <c r="F13" s="83" t="s">
        <v>54</v>
      </c>
      <c r="G13" s="34" t="s">
        <v>112</v>
      </c>
      <c r="H13" s="79" t="s">
        <v>65</v>
      </c>
      <c r="I13" s="34" t="s">
        <v>113</v>
      </c>
      <c r="J13" s="79" t="s">
        <v>75</v>
      </c>
      <c r="K13" s="49">
        <v>8</v>
      </c>
      <c r="L13" s="31">
        <f t="shared" si="1"/>
        <v>40</v>
      </c>
      <c r="M13" s="61">
        <v>50</v>
      </c>
      <c r="N13" s="70" t="s">
        <v>94</v>
      </c>
      <c r="O13" s="65">
        <v>8.0999999999999996E-3</v>
      </c>
      <c r="P13" s="72">
        <f t="shared" si="2"/>
        <v>0.40499999999999997</v>
      </c>
      <c r="Q13" s="54"/>
      <c r="R13" s="49"/>
    </row>
    <row r="14" spans="1:18" ht="25.5" x14ac:dyDescent="0.25">
      <c r="A14" s="1"/>
      <c r="B14" s="75">
        <f>ROW(B14) - ROW($B$9)</f>
        <v>5</v>
      </c>
      <c r="C14" s="35" t="s">
        <v>15</v>
      </c>
      <c r="D14" s="80" t="s">
        <v>30</v>
      </c>
      <c r="E14" s="35" t="s">
        <v>80</v>
      </c>
      <c r="F14" s="80" t="s">
        <v>43</v>
      </c>
      <c r="G14" s="67" t="s">
        <v>97</v>
      </c>
      <c r="H14" s="80" t="s">
        <v>66</v>
      </c>
      <c r="I14" s="35" t="s">
        <v>101</v>
      </c>
      <c r="J14" s="56" t="s">
        <v>81</v>
      </c>
      <c r="K14" s="50">
        <v>1</v>
      </c>
      <c r="L14" s="30">
        <f t="shared" si="1"/>
        <v>5</v>
      </c>
      <c r="M14" s="62">
        <v>6</v>
      </c>
      <c r="N14" s="91" t="s">
        <v>94</v>
      </c>
      <c r="O14" s="66">
        <v>0.56089999999999995</v>
      </c>
      <c r="P14" s="59">
        <f t="shared" si="2"/>
        <v>3.3653999999999997</v>
      </c>
      <c r="Q14" s="55"/>
      <c r="R14" s="50"/>
    </row>
    <row r="15" spans="1:18" x14ac:dyDescent="0.25">
      <c r="A15" s="1"/>
      <c r="B15" s="75">
        <f t="shared" si="0"/>
        <v>6</v>
      </c>
      <c r="C15" s="34" t="s">
        <v>16</v>
      </c>
      <c r="D15" s="79" t="s">
        <v>31</v>
      </c>
      <c r="E15" s="34" t="s">
        <v>80</v>
      </c>
      <c r="F15" s="79" t="s">
        <v>44</v>
      </c>
      <c r="G15" s="84" t="s">
        <v>97</v>
      </c>
      <c r="H15" s="79" t="s">
        <v>66</v>
      </c>
      <c r="I15" s="34" t="s">
        <v>99</v>
      </c>
      <c r="J15" s="86" t="s">
        <v>81</v>
      </c>
      <c r="K15" s="49">
        <v>1</v>
      </c>
      <c r="L15" s="31">
        <f t="shared" si="1"/>
        <v>5</v>
      </c>
      <c r="M15" s="61">
        <v>6</v>
      </c>
      <c r="N15" s="70" t="s">
        <v>94</v>
      </c>
      <c r="O15" s="65">
        <v>0.1893</v>
      </c>
      <c r="P15" s="72">
        <f t="shared" si="2"/>
        <v>1.1357999999999999</v>
      </c>
      <c r="Q15" s="54"/>
      <c r="R15" s="49"/>
    </row>
    <row r="16" spans="1:18" ht="25.5" x14ac:dyDescent="0.25">
      <c r="A16" s="1"/>
      <c r="B16" s="75">
        <f>ROW(B16) - ROW($B$9)</f>
        <v>7</v>
      </c>
      <c r="C16" s="35" t="s">
        <v>17</v>
      </c>
      <c r="D16" s="80" t="s">
        <v>32</v>
      </c>
      <c r="E16" s="35" t="s">
        <v>80</v>
      </c>
      <c r="F16" s="56" t="s">
        <v>81</v>
      </c>
      <c r="G16" s="67" t="s">
        <v>97</v>
      </c>
      <c r="H16" s="56" t="s">
        <v>81</v>
      </c>
      <c r="I16" s="67" t="s">
        <v>97</v>
      </c>
      <c r="J16" s="56" t="s">
        <v>81</v>
      </c>
      <c r="K16" s="50">
        <v>19</v>
      </c>
      <c r="L16" s="30">
        <f t="shared" si="1"/>
        <v>95</v>
      </c>
      <c r="M16" s="46" t="s">
        <v>81</v>
      </c>
      <c r="N16" s="56" t="s">
        <v>97</v>
      </c>
      <c r="O16" s="67" t="s">
        <v>81</v>
      </c>
      <c r="P16" s="56" t="s">
        <v>81</v>
      </c>
      <c r="Q16" s="56" t="s">
        <v>97</v>
      </c>
      <c r="R16" s="51" t="s">
        <v>81</v>
      </c>
    </row>
    <row r="17" spans="1:18" ht="38.25" x14ac:dyDescent="0.25">
      <c r="A17" s="1"/>
      <c r="B17" s="75">
        <f t="shared" si="0"/>
        <v>8</v>
      </c>
      <c r="C17" s="34" t="s">
        <v>18</v>
      </c>
      <c r="D17" s="79" t="s">
        <v>33</v>
      </c>
      <c r="E17" s="34" t="s">
        <v>45</v>
      </c>
      <c r="F17" s="79" t="s">
        <v>55</v>
      </c>
      <c r="G17" s="84" t="s">
        <v>97</v>
      </c>
      <c r="H17" s="79" t="s">
        <v>64</v>
      </c>
      <c r="I17" s="34" t="s">
        <v>100</v>
      </c>
      <c r="J17" s="79" t="s">
        <v>76</v>
      </c>
      <c r="K17" s="49">
        <v>8</v>
      </c>
      <c r="L17" s="31">
        <f t="shared" si="1"/>
        <v>40</v>
      </c>
      <c r="M17" s="61">
        <v>100</v>
      </c>
      <c r="N17" s="70" t="s">
        <v>94</v>
      </c>
      <c r="O17" s="65">
        <v>8.0000000000000004E-4</v>
      </c>
      <c r="P17" s="72">
        <f t="shared" si="2"/>
        <v>0.08</v>
      </c>
      <c r="Q17" s="54"/>
      <c r="R17" s="49"/>
    </row>
    <row r="18" spans="1:18" ht="63.75" x14ac:dyDescent="0.25">
      <c r="A18" s="1"/>
      <c r="B18" s="75">
        <f>ROW(B18) - ROW($B$9)</f>
        <v>9</v>
      </c>
      <c r="C18" s="35" t="s">
        <v>19</v>
      </c>
      <c r="D18" s="80" t="s">
        <v>34</v>
      </c>
      <c r="E18" s="35" t="s">
        <v>46</v>
      </c>
      <c r="F18" s="80" t="s">
        <v>107</v>
      </c>
      <c r="G18" s="67" t="s">
        <v>97</v>
      </c>
      <c r="H18" s="80" t="s">
        <v>67</v>
      </c>
      <c r="I18" s="35" t="s">
        <v>108</v>
      </c>
      <c r="J18" s="80" t="s">
        <v>77</v>
      </c>
      <c r="K18" s="50">
        <v>2</v>
      </c>
      <c r="L18" s="30">
        <f t="shared" si="1"/>
        <v>10</v>
      </c>
      <c r="M18" s="62">
        <v>50</v>
      </c>
      <c r="N18" s="91" t="s">
        <v>94</v>
      </c>
      <c r="O18" s="66">
        <v>1.2699999999999999E-2</v>
      </c>
      <c r="P18" s="59">
        <f t="shared" si="2"/>
        <v>0.63500000000000001</v>
      </c>
      <c r="Q18" s="55"/>
      <c r="R18" s="50"/>
    </row>
    <row r="19" spans="1:18" ht="38.25" x14ac:dyDescent="0.25">
      <c r="A19" s="1"/>
      <c r="B19" s="75">
        <f t="shared" si="0"/>
        <v>10</v>
      </c>
      <c r="C19" s="34" t="s">
        <v>20</v>
      </c>
      <c r="D19" s="79" t="s">
        <v>35</v>
      </c>
      <c r="E19" s="34" t="s">
        <v>45</v>
      </c>
      <c r="F19" s="79" t="s">
        <v>56</v>
      </c>
      <c r="G19" s="84" t="s">
        <v>97</v>
      </c>
      <c r="H19" s="79" t="s">
        <v>64</v>
      </c>
      <c r="I19" s="34" t="s">
        <v>102</v>
      </c>
      <c r="J19" s="79" t="s">
        <v>78</v>
      </c>
      <c r="K19" s="49">
        <v>8</v>
      </c>
      <c r="L19" s="31">
        <f t="shared" si="1"/>
        <v>40</v>
      </c>
      <c r="M19" s="61">
        <v>100</v>
      </c>
      <c r="N19" s="70" t="s">
        <v>94</v>
      </c>
      <c r="O19" s="65">
        <v>2.7000000000000001E-3</v>
      </c>
      <c r="P19" s="72">
        <f t="shared" si="2"/>
        <v>0.27</v>
      </c>
      <c r="Q19" s="54"/>
      <c r="R19" s="49"/>
    </row>
    <row r="20" spans="1:18" ht="25.5" x14ac:dyDescent="0.25">
      <c r="A20" s="1"/>
      <c r="B20" s="75">
        <f>ROW(B20) - ROW($B$9)</f>
        <v>11</v>
      </c>
      <c r="C20" s="35" t="s">
        <v>21</v>
      </c>
      <c r="D20" s="80" t="s">
        <v>36</v>
      </c>
      <c r="E20" s="35" t="s">
        <v>45</v>
      </c>
      <c r="F20" s="80" t="s">
        <v>57</v>
      </c>
      <c r="G20" s="67" t="s">
        <v>97</v>
      </c>
      <c r="H20" s="80" t="s">
        <v>64</v>
      </c>
      <c r="I20" s="35" t="s">
        <v>103</v>
      </c>
      <c r="J20" s="80" t="s">
        <v>79</v>
      </c>
      <c r="K20" s="50">
        <v>8</v>
      </c>
      <c r="L20" s="30">
        <f t="shared" si="1"/>
        <v>40</v>
      </c>
      <c r="M20" s="62">
        <v>100</v>
      </c>
      <c r="N20" s="91" t="s">
        <v>94</v>
      </c>
      <c r="O20" s="66">
        <v>5.0000000000000001E-4</v>
      </c>
      <c r="P20" s="59">
        <f t="shared" si="2"/>
        <v>0.05</v>
      </c>
      <c r="Q20" s="55"/>
      <c r="R20" s="50"/>
    </row>
    <row r="21" spans="1:18" ht="25.5" x14ac:dyDescent="0.25">
      <c r="A21" s="1"/>
      <c r="B21" s="75">
        <f t="shared" si="0"/>
        <v>12</v>
      </c>
      <c r="C21" s="34" t="s">
        <v>22</v>
      </c>
      <c r="D21" s="79" t="s">
        <v>37</v>
      </c>
      <c r="E21" s="34" t="s">
        <v>47</v>
      </c>
      <c r="F21" s="79" t="s">
        <v>58</v>
      </c>
      <c r="G21" s="84" t="s">
        <v>97</v>
      </c>
      <c r="H21" s="79" t="s">
        <v>68</v>
      </c>
      <c r="I21" s="34" t="s">
        <v>104</v>
      </c>
      <c r="J21" s="86" t="s">
        <v>81</v>
      </c>
      <c r="K21" s="49">
        <v>8</v>
      </c>
      <c r="L21" s="31">
        <f t="shared" si="1"/>
        <v>40</v>
      </c>
      <c r="M21" s="61">
        <v>42</v>
      </c>
      <c r="N21" s="70" t="s">
        <v>94</v>
      </c>
      <c r="O21" s="65">
        <v>5.9004000000000003</v>
      </c>
      <c r="P21" s="72">
        <f t="shared" si="2"/>
        <v>247.8168</v>
      </c>
      <c r="Q21" s="88" t="s">
        <v>111</v>
      </c>
      <c r="R21" s="49"/>
    </row>
    <row r="22" spans="1:18" ht="25.5" x14ac:dyDescent="0.25">
      <c r="A22" s="1"/>
      <c r="B22" s="75">
        <f>ROW(B22) - ROW($B$9)</f>
        <v>13</v>
      </c>
      <c r="C22" s="35" t="s">
        <v>23</v>
      </c>
      <c r="D22" s="80" t="s">
        <v>38</v>
      </c>
      <c r="E22" s="35" t="s">
        <v>48</v>
      </c>
      <c r="F22" s="80" t="s">
        <v>59</v>
      </c>
      <c r="G22" s="67" t="s">
        <v>97</v>
      </c>
      <c r="H22" s="80" t="s">
        <v>69</v>
      </c>
      <c r="I22" s="35" t="s">
        <v>105</v>
      </c>
      <c r="J22" s="56" t="s">
        <v>81</v>
      </c>
      <c r="K22" s="50">
        <v>1</v>
      </c>
      <c r="L22" s="30">
        <f t="shared" si="1"/>
        <v>5</v>
      </c>
      <c r="M22" s="62">
        <v>6</v>
      </c>
      <c r="N22" s="91" t="s">
        <v>94</v>
      </c>
      <c r="O22" s="66">
        <v>0.44180000000000003</v>
      </c>
      <c r="P22" s="59">
        <f t="shared" si="2"/>
        <v>2.6508000000000003</v>
      </c>
      <c r="Q22" s="55"/>
      <c r="R22" s="50"/>
    </row>
    <row r="23" spans="1:18" ht="15.75" thickBot="1" x14ac:dyDescent="0.3">
      <c r="A23" s="1"/>
      <c r="B23" s="76">
        <f t="shared" si="0"/>
        <v>14</v>
      </c>
      <c r="C23" s="77" t="s">
        <v>24</v>
      </c>
      <c r="D23" s="81" t="s">
        <v>39</v>
      </c>
      <c r="E23" s="77" t="s">
        <v>49</v>
      </c>
      <c r="F23" s="81" t="s">
        <v>60</v>
      </c>
      <c r="G23" s="85" t="s">
        <v>97</v>
      </c>
      <c r="H23" s="81" t="s">
        <v>70</v>
      </c>
      <c r="I23" s="77" t="s">
        <v>106</v>
      </c>
      <c r="J23" s="87" t="s">
        <v>81</v>
      </c>
      <c r="K23" s="52">
        <v>2</v>
      </c>
      <c r="L23" s="41">
        <f t="shared" si="1"/>
        <v>10</v>
      </c>
      <c r="M23" s="63">
        <v>6</v>
      </c>
      <c r="N23" s="92" t="s">
        <v>94</v>
      </c>
      <c r="O23" s="68">
        <v>0.15240000000000001</v>
      </c>
      <c r="P23" s="73">
        <f t="shared" si="2"/>
        <v>0.9144000000000001</v>
      </c>
      <c r="Q23" s="57"/>
      <c r="R23" s="52"/>
    </row>
    <row r="24" spans="1:18" ht="19.5" thickBot="1" x14ac:dyDescent="0.3">
      <c r="A24" s="1"/>
      <c r="B24" s="42"/>
      <c r="C24" s="43" t="s">
        <v>5</v>
      </c>
      <c r="D24" s="44"/>
      <c r="E24" s="99"/>
      <c r="F24" s="99"/>
      <c r="G24" s="99"/>
      <c r="H24" s="99"/>
      <c r="I24" s="99"/>
      <c r="J24" s="99"/>
      <c r="K24" s="99"/>
      <c r="L24" s="100"/>
      <c r="M24" s="97" t="s">
        <v>109</v>
      </c>
      <c r="N24" s="98"/>
      <c r="O24" s="98"/>
      <c r="P24" s="89">
        <f>SUM(P10:P23)</f>
        <v>259.12919999999997</v>
      </c>
      <c r="Q24" s="99"/>
      <c r="R24" s="100"/>
    </row>
    <row r="25" spans="1:18" ht="19.5" thickBot="1" x14ac:dyDescent="0.3">
      <c r="A25" s="1"/>
      <c r="B25" s="24"/>
      <c r="C25" s="8" t="s">
        <v>6</v>
      </c>
      <c r="D25" s="9"/>
      <c r="E25" s="101"/>
      <c r="F25" s="101"/>
      <c r="G25" s="101"/>
      <c r="H25" s="101"/>
      <c r="I25" s="101"/>
      <c r="J25" s="101"/>
      <c r="K25" s="101"/>
      <c r="L25" s="102"/>
      <c r="M25" s="97" t="s">
        <v>110</v>
      </c>
      <c r="N25" s="98"/>
      <c r="O25" s="98"/>
      <c r="P25" s="90">
        <f>P24/5</f>
        <v>51.825839999999992</v>
      </c>
      <c r="Q25" s="101"/>
      <c r="R25" s="102"/>
    </row>
  </sheetData>
  <mergeCells count="7">
    <mergeCell ref="J1:K1"/>
    <mergeCell ref="R3:R8"/>
    <mergeCell ref="J2:R2"/>
    <mergeCell ref="M24:O24"/>
    <mergeCell ref="M25:O25"/>
    <mergeCell ref="E24:L25"/>
    <mergeCell ref="Q24:R25"/>
  </mergeCells>
  <hyperlinks>
    <hyperlink ref="N10" r:id="rId1" xr:uid="{100462C4-FA8F-4D16-8168-575F3EAD1350}"/>
    <hyperlink ref="N12" r:id="rId2" xr:uid="{CC1A75C7-134E-4E20-A6A5-5C056D4918B2}"/>
    <hyperlink ref="N11" r:id="rId3" xr:uid="{B7714D11-A77B-454C-8828-A5BD4A746644}"/>
    <hyperlink ref="N15" r:id="rId4" xr:uid="{FFF28CE1-87AC-4ADE-A95E-16C393CFA042}"/>
    <hyperlink ref="N17" r:id="rId5" xr:uid="{A4714B3E-0454-4CEF-8B45-316738A110A7}"/>
    <hyperlink ref="N14" r:id="rId6" xr:uid="{8C9B39EB-942A-43DB-BCEF-D599850185D7}"/>
    <hyperlink ref="N19" r:id="rId7" xr:uid="{BE1297EE-8B2E-441B-955F-3A349B84EDE1}"/>
    <hyperlink ref="N20" r:id="rId8" xr:uid="{0C3EC796-D75C-4C31-88F7-C2EE4D012568}"/>
    <hyperlink ref="N21" r:id="rId9" xr:uid="{5A0D6039-D02A-49E6-B18A-455287F1C8C3}"/>
    <hyperlink ref="N22" r:id="rId10" xr:uid="{BB22E13A-9E79-4097-AC4F-F19B2F2754A8}"/>
    <hyperlink ref="N23" r:id="rId11" xr:uid="{DF4029E5-E8D3-4584-B881-A0621DBEE882}"/>
    <hyperlink ref="N18" r:id="rId12" xr:uid="{28F214EC-7847-4913-BF43-3F44A00C2675}"/>
    <hyperlink ref="N13" r:id="rId13" xr:uid="{38C6ACF0-DAFE-45AC-B84A-4C54E5BC2212}"/>
  </hyperlinks>
  <pageMargins left="0.7" right="0.7" top="0.75" bottom="0.75" header="0.3" footer="0.3"/>
  <pageSetup paperSize="9"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9644-E7CD-40DF-9083-45958A0FEBB1}">
  <dimension ref="A1:C15"/>
  <sheetViews>
    <sheetView tabSelected="1" workbookViewId="0">
      <selection activeCell="B18" sqref="B18"/>
    </sheetView>
  </sheetViews>
  <sheetFormatPr defaultRowHeight="15" x14ac:dyDescent="0.25"/>
  <cols>
    <col min="1" max="1" width="3" bestFit="1" customWidth="1"/>
    <col min="2" max="2" width="12.5703125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33" t="s">
        <v>4</v>
      </c>
      <c r="B2" s="32" t="s">
        <v>83</v>
      </c>
      <c r="C2" s="33" t="s">
        <v>86</v>
      </c>
    </row>
    <row r="3" spans="1:3" x14ac:dyDescent="0.25">
      <c r="A3" s="74">
        <v>1</v>
      </c>
      <c r="B3" s="39" t="s">
        <v>93</v>
      </c>
      <c r="C3" s="40">
        <v>100</v>
      </c>
    </row>
    <row r="4" spans="1:3" x14ac:dyDescent="0.25">
      <c r="A4" s="74">
        <v>2</v>
      </c>
      <c r="B4" s="34" t="s">
        <v>98</v>
      </c>
      <c r="C4" s="31">
        <v>60</v>
      </c>
    </row>
    <row r="5" spans="1:3" x14ac:dyDescent="0.25">
      <c r="A5" s="74">
        <v>3</v>
      </c>
      <c r="B5" s="35" t="s">
        <v>95</v>
      </c>
      <c r="C5" s="30">
        <v>50</v>
      </c>
    </row>
    <row r="6" spans="1:3" x14ac:dyDescent="0.25">
      <c r="A6" s="74">
        <v>4</v>
      </c>
      <c r="B6" s="34" t="s">
        <v>113</v>
      </c>
      <c r="C6" s="31">
        <v>50</v>
      </c>
    </row>
    <row r="7" spans="1:3" x14ac:dyDescent="0.25">
      <c r="A7" s="74">
        <v>5</v>
      </c>
      <c r="B7" s="35" t="s">
        <v>101</v>
      </c>
      <c r="C7" s="30">
        <v>6</v>
      </c>
    </row>
    <row r="8" spans="1:3" x14ac:dyDescent="0.25">
      <c r="A8" s="74">
        <v>6</v>
      </c>
      <c r="B8" s="34" t="s">
        <v>99</v>
      </c>
      <c r="C8" s="31">
        <v>6</v>
      </c>
    </row>
    <row r="9" spans="1:3" x14ac:dyDescent="0.25">
      <c r="A9" s="74">
        <v>7</v>
      </c>
      <c r="B9" s="34" t="s">
        <v>100</v>
      </c>
      <c r="C9" s="31">
        <v>100</v>
      </c>
    </row>
    <row r="10" spans="1:3" x14ac:dyDescent="0.25">
      <c r="A10" s="74">
        <v>8</v>
      </c>
      <c r="B10" s="35" t="s">
        <v>108</v>
      </c>
      <c r="C10" s="30">
        <v>50</v>
      </c>
    </row>
    <row r="11" spans="1:3" x14ac:dyDescent="0.25">
      <c r="A11" s="74">
        <v>9</v>
      </c>
      <c r="B11" s="34" t="s">
        <v>102</v>
      </c>
      <c r="C11" s="31">
        <v>100</v>
      </c>
    </row>
    <row r="12" spans="1:3" x14ac:dyDescent="0.25">
      <c r="A12" s="74">
        <v>10</v>
      </c>
      <c r="B12" s="35" t="s">
        <v>103</v>
      </c>
      <c r="C12" s="30">
        <v>100</v>
      </c>
    </row>
    <row r="13" spans="1:3" x14ac:dyDescent="0.25">
      <c r="A13" s="74">
        <v>11</v>
      </c>
      <c r="B13" s="34" t="s">
        <v>104</v>
      </c>
      <c r="C13" s="31">
        <v>42</v>
      </c>
    </row>
    <row r="14" spans="1:3" x14ac:dyDescent="0.25">
      <c r="A14" s="74">
        <v>12</v>
      </c>
      <c r="B14" s="35" t="s">
        <v>105</v>
      </c>
      <c r="C14" s="30">
        <v>6</v>
      </c>
    </row>
    <row r="15" spans="1:3" ht="15.75" thickBot="1" x14ac:dyDescent="0.3">
      <c r="A15" s="105">
        <v>13</v>
      </c>
      <c r="B15" s="106" t="s">
        <v>106</v>
      </c>
      <c r="C15" s="10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2022-06-16T13:37:04Z</dcterms:modified>
</cp:coreProperties>
</file>