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Sensor-Board\"/>
    </mc:Choice>
  </mc:AlternateContent>
  <xr:revisionPtr revIDLastSave="0" documentId="13_ncr:1_{00EC7446-BFC2-4AA5-8FAA-4A901A0843EB}" xr6:coauthVersionLast="47" xr6:coauthVersionMax="47" xr10:uidLastSave="{00000000-0000-0000-0000-000000000000}"/>
  <bookViews>
    <workbookView xWindow="-5430" yWindow="2295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10" i="1" l="1"/>
</calcChain>
</file>

<file path=xl/sharedStrings.xml><?xml version="1.0" encoding="utf-8"?>
<sst xmlns="http://schemas.openxmlformats.org/spreadsheetml/2006/main" count="92" uniqueCount="79">
  <si>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</si>
  <si>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</si>
  <si>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</si>
  <si>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</si>
  <si>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</si>
  <si>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</si>
  <si>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</si>
  <si>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[ArmBand-Sensor-Board.PrjPcb] (No PCB Document Selected)</t>
  </si>
  <si>
    <t>ArmBand-Sensor-Board.PrjPcb</t>
  </si>
  <si>
    <t>None</t>
  </si>
  <si>
    <t>Designator</t>
  </si>
  <si>
    <t>C51, C52</t>
  </si>
  <si>
    <t>J1</t>
  </si>
  <si>
    <t>J2</t>
  </si>
  <si>
    <t>R25, R26</t>
  </si>
  <si>
    <t>U16</t>
  </si>
  <si>
    <t>U17, U18</t>
  </si>
  <si>
    <t>Description</t>
  </si>
  <si>
    <t>CAP CER 0.1UF 50V X7R 0402</t>
  </si>
  <si>
    <t>CAP CER 1UF 16V X5R 0402</t>
  </si>
  <si>
    <t>CONN FPC/FFC 12POS .5MM</t>
  </si>
  <si>
    <t>Test Point ON</t>
  </si>
  <si>
    <t>1/10W Thin Film Resistor 75V ±0.5% ±25ppm/℃ -55℃~+155℃ 64kΩ 0603 Chip Resistor - Surface Mount ROHS</t>
  </si>
  <si>
    <t>SOT-23-5 Operational Amplifier ROHS</t>
  </si>
  <si>
    <t>IC OPAMP GP 1.3MHZ 14SO</t>
  </si>
  <si>
    <t>Footprint</t>
  </si>
  <si>
    <t>Cap 0402</t>
  </si>
  <si>
    <t>FH34SRJ-12S-0.5SH(50)</t>
  </si>
  <si>
    <t>Res0603</t>
  </si>
  <si>
    <t>SOT-23-5</t>
  </si>
  <si>
    <t>SO-14</t>
  </si>
  <si>
    <t>Manufacturer Part Number</t>
  </si>
  <si>
    <t>CC0402KRX5R7BB105</t>
  </si>
  <si>
    <t>TPMCP6021T-E/OT</t>
  </si>
  <si>
    <t>LM324DT</t>
  </si>
  <si>
    <t>Manufacturer</t>
  </si>
  <si>
    <t>Murata</t>
  </si>
  <si>
    <t>Yageo</t>
  </si>
  <si>
    <t>Hirose</t>
  </si>
  <si>
    <t>iking Tech</t>
  </si>
  <si>
    <t>TECH PUBLIC</t>
  </si>
  <si>
    <t>STMicroelectronics</t>
  </si>
  <si>
    <t>Comment</t>
  </si>
  <si>
    <t>0.1uF</t>
  </si>
  <si>
    <t>1uF</t>
  </si>
  <si>
    <t>64K</t>
  </si>
  <si>
    <t>Custom</t>
  </si>
  <si>
    <t>----------</t>
  </si>
  <si>
    <t>LCSC/Part No</t>
  </si>
  <si>
    <t>Quantity (1 Board)</t>
  </si>
  <si>
    <t>LCSC/MOQ/5 Boards</t>
  </si>
  <si>
    <t>CL05B104KB54PNC</t>
  </si>
  <si>
    <t>C307331</t>
  </si>
  <si>
    <t>C325464</t>
  </si>
  <si>
    <t>--------</t>
  </si>
  <si>
    <t>C424659</t>
  </si>
  <si>
    <t>C2923365</t>
  </si>
  <si>
    <t>C71035</t>
  </si>
  <si>
    <t>ARG03DTC6402N</t>
  </si>
  <si>
    <t>C2902643</t>
  </si>
  <si>
    <t>C1, C60</t>
  </si>
  <si>
    <t>P1, P3, P5, P7, P9, P11, P13, P15, P16, P18, P20</t>
  </si>
  <si>
    <t>Remarks</t>
  </si>
  <si>
    <t>DO NOT MOUNT</t>
  </si>
  <si>
    <t>Slide Lock 32 Bottom Contact Surface Mount 0.5mm SMD,P=0.5mm FFC/FPC Connectors ROHS</t>
  </si>
  <si>
    <t>AFC07-S32FCA-00</t>
  </si>
  <si>
    <t>JUSHUO</t>
  </si>
  <si>
    <t>C262570</t>
  </si>
  <si>
    <t>R1, R2</t>
  </si>
  <si>
    <t>RES SMD 10K OHM 1% 1/16W 0402</t>
  </si>
  <si>
    <t>Res0402</t>
  </si>
  <si>
    <t>RC0402FR-0710KL</t>
  </si>
  <si>
    <t>C60490</t>
  </si>
  <si>
    <t>10K</t>
  </si>
  <si>
    <t>SW1, SW2</t>
  </si>
  <si>
    <t>No Gull Wing 50mA 100MΩ 80000 260gf@±50gf 12V -25℃~+85℃ 1.7mm Golden Round Button Brick nogging SPST SMD Tactile Switches ROHS</t>
  </si>
  <si>
    <t>TC-0522C-1.7-260G</t>
  </si>
  <si>
    <t>HCTL</t>
  </si>
  <si>
    <t>C2845290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</si>
</sst>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2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1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2" xfId="0" quotePrefix="1" applyFont="1" applyFill="1" applyBorder="1" applyAlignment="1">
      <alignment vertical="center"/>
    </xf>
    <xf numFmtId="0" fontId="14" fillId="3" borderId="0" xfId="0" quotePrefix="1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7" fillId="5" borderId="12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1" fillId="2" borderId="19" xfId="0" quotePrefix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4" borderId="19" xfId="0" quotePrefix="1" applyFont="1" applyFill="1" applyBorder="1" applyAlignment="1">
      <alignment horizontal="center" vertical="center" wrapText="1"/>
    </xf>
    <xf numFmtId="0" fontId="10" fillId="3" borderId="0" xfId="0" applyNumberFormat="1" applyFont="1" applyFill="1" applyBorder="1" applyAlignment="1" applyProtection="1">
      <alignment vertical="center"/>
      <protection locked="0"/>
    </xf>
    <xf numFmtId="0" fontId="11" fillId="3" borderId="0" xfId="0" applyNumberFormat="1" applyFont="1" applyFill="1" applyBorder="1" applyAlignment="1" applyProtection="1">
      <alignment horizontal="left" vertical="center"/>
      <protection locked="0"/>
    </xf>
    <xf numFmtId="0" fontId="16" fillId="0" borderId="5" xfId="0" applyFont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3" borderId="7" xfId="0" applyNumberFormat="1" applyFont="1" applyFill="1" applyBorder="1" applyAlignment="1" applyProtection="1">
      <alignment horizontal="center" vertical="center"/>
      <protection locked="0"/>
    </xf>
    <xf numFmtId="0" fontId="17" fillId="5" borderId="1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6" xfId="0" quotePrefix="1" applyFont="1" applyFill="1" applyBorder="1" applyAlignment="1">
      <alignment horizontal="center" vertical="center" wrapText="1"/>
    </xf>
    <xf numFmtId="0" fontId="20" fillId="2" borderId="19" xfId="0" quotePrefix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21" fillId="2" borderId="19" xfId="0" quotePrefix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1" fillId="4" borderId="6" xfId="0" quotePrefix="1" applyFont="1" applyFill="1" applyBorder="1" applyAlignment="1">
      <alignment horizontal="center" vertical="center" wrapText="1"/>
    </xf>
    <xf numFmtId="0" fontId="16" fillId="4" borderId="19" xfId="0" quotePrefix="1" applyFont="1" applyFill="1" applyBorder="1" applyAlignment="1">
      <alignment horizontal="center" vertical="center" wrapText="1"/>
    </xf>
    <xf numFmtId="0" fontId="22" fillId="4" borderId="19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17" xfId="0" quotePrefix="1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28576</xdr:colOff>
      <xdr:row>2</xdr:row>
      <xdr:rowOff>47625</xdr:rowOff>
    </xdr:from>
    <xdr:ext cx="1733550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07E88B41-A01D-465F-86F3-0C39BE921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0926" y="657225"/>
          <a:ext cx="1733550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1"/>
  <sheetViews>
    <sheetView tabSelected="1" workbookViewId="0">
      <selection activeCell="A18" sqref="A18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3.5703125" customWidth="1"/>
    <col min="5" max="5" width="22.42578125" customWidth="1"/>
    <col min="6" max="6" width="29.42578125" bestFit="1" customWidth="1"/>
    <col min="7" max="7" width="18.85546875" bestFit="1" customWidth="1"/>
    <col min="8" max="8" width="18.85546875" customWidth="1"/>
    <col min="9" max="9" width="9.7109375" bestFit="1" customWidth="1"/>
    <col min="10" max="12" width="26.85546875" bestFit="1" customWidth="1"/>
  </cols>
  <sheetData>
    <row r="1" spans="1:12" ht="15.75" thickBot="1" x14ac:dyDescent="0.3">
      <c r="A1" s="1"/>
      <c r="B1" s="19"/>
      <c r="C1" s="2"/>
      <c r="D1" s="2"/>
      <c r="E1" s="2"/>
      <c r="F1" s="2"/>
      <c r="G1" s="2"/>
      <c r="H1" s="2"/>
      <c r="I1" s="70"/>
      <c r="J1" s="71"/>
    </row>
    <row r="2" spans="1:12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3"/>
      <c r="H2" s="3"/>
      <c r="I2" s="78"/>
      <c r="J2" s="78"/>
      <c r="K2" s="78"/>
      <c r="L2" s="79"/>
    </row>
    <row r="3" spans="1:12" ht="15.75" x14ac:dyDescent="0.25">
      <c r="A3" s="1"/>
      <c r="B3" s="21"/>
      <c r="C3" s="12" t="s">
        <v>1</v>
      </c>
      <c r="D3" s="12"/>
      <c r="E3" s="27" t="s">
        <v>8</v>
      </c>
      <c r="F3" s="12"/>
      <c r="G3" s="4"/>
      <c r="H3" s="4"/>
      <c r="I3" s="4"/>
      <c r="J3" s="4"/>
      <c r="K3" s="4"/>
      <c r="L3" s="72"/>
    </row>
    <row r="4" spans="1:12" ht="15.75" x14ac:dyDescent="0.25">
      <c r="A4" s="1"/>
      <c r="B4" s="21"/>
      <c r="C4" s="12" t="s">
        <v>2</v>
      </c>
      <c r="D4" s="12"/>
      <c r="E4" s="28" t="s">
        <v>8</v>
      </c>
      <c r="F4" s="13"/>
      <c r="G4" s="6"/>
      <c r="H4" s="6"/>
      <c r="I4" s="6"/>
      <c r="J4" s="6"/>
      <c r="K4" s="6"/>
      <c r="L4" s="73"/>
    </row>
    <row r="5" spans="1:12" ht="15.75" x14ac:dyDescent="0.25">
      <c r="A5" s="1"/>
      <c r="B5" s="21"/>
      <c r="C5" s="12" t="s">
        <v>3</v>
      </c>
      <c r="D5" s="12"/>
      <c r="E5" s="29" t="s">
        <v>9</v>
      </c>
      <c r="F5" s="14"/>
      <c r="G5" s="5"/>
      <c r="H5" s="5"/>
      <c r="I5" s="5"/>
      <c r="J5" s="5"/>
      <c r="K5" s="5"/>
      <c r="L5" s="73"/>
    </row>
    <row r="6" spans="1:12" x14ac:dyDescent="0.25">
      <c r="A6" s="1"/>
      <c r="B6" s="22"/>
      <c r="C6" s="15"/>
      <c r="D6" s="15"/>
      <c r="E6" s="16"/>
      <c r="F6" s="14"/>
      <c r="G6" s="5"/>
      <c r="H6" s="5"/>
      <c r="I6" s="5"/>
      <c r="J6" s="5"/>
      <c r="K6" s="5"/>
      <c r="L6" s="73"/>
    </row>
    <row r="7" spans="1:12" x14ac:dyDescent="0.25">
      <c r="A7" s="1"/>
      <c r="B7" s="23"/>
      <c r="C7" s="17"/>
      <c r="D7" s="17"/>
      <c r="E7" s="18"/>
      <c r="F7" s="17"/>
      <c r="G7" s="7"/>
      <c r="H7" s="7"/>
      <c r="I7" s="7"/>
      <c r="J7" s="7"/>
      <c r="K7" s="7"/>
      <c r="L7" s="73"/>
    </row>
    <row r="8" spans="1:12" ht="15.75" thickBot="1" x14ac:dyDescent="0.3">
      <c r="A8" s="1"/>
      <c r="B8" s="34"/>
      <c r="C8" s="35"/>
      <c r="D8" s="35"/>
      <c r="E8" s="36"/>
      <c r="F8" s="17"/>
      <c r="G8" s="7"/>
      <c r="H8" s="7"/>
      <c r="I8" s="7"/>
      <c r="J8" s="7"/>
      <c r="K8" s="7"/>
      <c r="L8" s="73"/>
    </row>
    <row r="9" spans="1:12" ht="15.75" thickBot="1" x14ac:dyDescent="0.3">
      <c r="A9" s="1"/>
      <c r="B9" s="38" t="s">
        <v>4</v>
      </c>
      <c r="C9" s="31" t="s">
        <v>10</v>
      </c>
      <c r="D9" s="30" t="s">
        <v>17</v>
      </c>
      <c r="E9" s="31" t="s">
        <v>25</v>
      </c>
      <c r="F9" s="30" t="s">
        <v>31</v>
      </c>
      <c r="G9" s="31" t="s">
        <v>35</v>
      </c>
      <c r="H9" s="30" t="s">
        <v>48</v>
      </c>
      <c r="I9" s="31" t="s">
        <v>42</v>
      </c>
      <c r="J9" s="30" t="s">
        <v>49</v>
      </c>
      <c r="K9" s="31" t="s">
        <v>50</v>
      </c>
      <c r="L9" s="31" t="s">
        <v>62</v>
      </c>
    </row>
    <row r="10" spans="1:12" ht="26.25" thickBot="1" x14ac:dyDescent="0.3">
      <c r="A10" s="1"/>
      <c r="B10" s="53">
        <f>ROW(B10) - ROW($B$9)</f>
        <v>1</v>
      </c>
      <c r="C10" s="54" t="s">
        <v>60</v>
      </c>
      <c r="D10" s="37" t="s">
        <v>18</v>
      </c>
      <c r="E10" s="43" t="s">
        <v>26</v>
      </c>
      <c r="F10" s="37" t="s">
        <v>51</v>
      </c>
      <c r="G10" s="43" t="s">
        <v>36</v>
      </c>
      <c r="H10" s="37" t="s">
        <v>52</v>
      </c>
      <c r="I10" s="43" t="s">
        <v>43</v>
      </c>
      <c r="J10" s="49">
        <v>2</v>
      </c>
      <c r="K10" s="39">
        <v>50</v>
      </c>
      <c r="L10" s="39"/>
    </row>
    <row r="11" spans="1:12" ht="15.75" thickBot="1" x14ac:dyDescent="0.3">
      <c r="A11" s="1"/>
      <c r="B11" s="53">
        <f t="shared" ref="B11:B19" si="0">ROW(B11) - ROW($B$9)</f>
        <v>2</v>
      </c>
      <c r="C11" s="44" t="s">
        <v>11</v>
      </c>
      <c r="D11" s="32" t="s">
        <v>19</v>
      </c>
      <c r="E11" s="44" t="s">
        <v>26</v>
      </c>
      <c r="F11" s="32" t="s">
        <v>32</v>
      </c>
      <c r="G11" s="44" t="s">
        <v>37</v>
      </c>
      <c r="H11" s="32" t="s">
        <v>53</v>
      </c>
      <c r="I11" s="44" t="s">
        <v>44</v>
      </c>
      <c r="J11" s="50">
        <v>2</v>
      </c>
      <c r="K11" s="40">
        <v>50</v>
      </c>
      <c r="L11" s="40"/>
    </row>
    <row r="12" spans="1:12" ht="48.75" thickBot="1" x14ac:dyDescent="0.3">
      <c r="A12" s="1"/>
      <c r="B12" s="53">
        <f t="shared" si="0"/>
        <v>3</v>
      </c>
      <c r="C12" s="45" t="s">
        <v>12</v>
      </c>
      <c r="D12" s="54" t="s">
        <v>64</v>
      </c>
      <c r="E12" s="54" t="s">
        <v>46</v>
      </c>
      <c r="F12" s="64" t="s">
        <v>65</v>
      </c>
      <c r="G12" s="43" t="s">
        <v>66</v>
      </c>
      <c r="H12" s="33" t="s">
        <v>67</v>
      </c>
      <c r="I12" s="42" t="s">
        <v>54</v>
      </c>
      <c r="J12" s="51">
        <v>1</v>
      </c>
      <c r="K12" s="41">
        <v>6</v>
      </c>
      <c r="L12" s="41"/>
    </row>
    <row r="13" spans="1:12" ht="15.75" thickBot="1" x14ac:dyDescent="0.3">
      <c r="A13" s="1"/>
      <c r="B13" s="53">
        <f t="shared" si="0"/>
        <v>4</v>
      </c>
      <c r="C13" s="44" t="s">
        <v>13</v>
      </c>
      <c r="D13" s="32" t="s">
        <v>20</v>
      </c>
      <c r="E13" s="44" t="s">
        <v>46</v>
      </c>
      <c r="F13" s="32" t="s">
        <v>27</v>
      </c>
      <c r="G13" s="44" t="s">
        <v>38</v>
      </c>
      <c r="H13" s="32" t="s">
        <v>55</v>
      </c>
      <c r="I13" s="46" t="s">
        <v>47</v>
      </c>
      <c r="J13" s="50">
        <v>1</v>
      </c>
      <c r="K13" s="40">
        <v>6</v>
      </c>
      <c r="L13" s="40"/>
    </row>
    <row r="14" spans="1:12" ht="15.75" thickBot="1" x14ac:dyDescent="0.3">
      <c r="A14" s="1"/>
      <c r="B14" s="53">
        <f t="shared" si="0"/>
        <v>5</v>
      </c>
      <c r="C14" s="55" t="s">
        <v>61</v>
      </c>
      <c r="D14" s="56" t="s">
        <v>21</v>
      </c>
      <c r="E14" s="57" t="s">
        <v>46</v>
      </c>
      <c r="F14" s="58" t="s">
        <v>47</v>
      </c>
      <c r="G14" s="59" t="s">
        <v>47</v>
      </c>
      <c r="H14" s="58" t="s">
        <v>54</v>
      </c>
      <c r="I14" s="59" t="s">
        <v>47</v>
      </c>
      <c r="J14" s="60">
        <v>11</v>
      </c>
      <c r="K14" s="59">
        <v>55</v>
      </c>
      <c r="L14" s="63" t="s">
        <v>63</v>
      </c>
    </row>
    <row r="15" spans="1:12" ht="26.25" thickBot="1" x14ac:dyDescent="0.3">
      <c r="A15" s="1"/>
      <c r="B15" s="53">
        <f t="shared" si="0"/>
        <v>6</v>
      </c>
      <c r="C15" s="44" t="s">
        <v>68</v>
      </c>
      <c r="D15" s="32" t="s">
        <v>69</v>
      </c>
      <c r="E15" s="44" t="s">
        <v>70</v>
      </c>
      <c r="F15" s="32" t="s">
        <v>71</v>
      </c>
      <c r="G15" s="44" t="s">
        <v>37</v>
      </c>
      <c r="H15" s="67" t="s">
        <v>72</v>
      </c>
      <c r="I15" s="44" t="s">
        <v>73</v>
      </c>
      <c r="J15" s="50">
        <v>2</v>
      </c>
      <c r="K15" s="68">
        <v>100</v>
      </c>
      <c r="L15" s="69"/>
    </row>
    <row r="16" spans="1:12" ht="64.5" thickBot="1" x14ac:dyDescent="0.3">
      <c r="A16" s="1"/>
      <c r="B16" s="53">
        <f t="shared" si="0"/>
        <v>7</v>
      </c>
      <c r="C16" s="45" t="s">
        <v>14</v>
      </c>
      <c r="D16" s="33" t="s">
        <v>22</v>
      </c>
      <c r="E16" s="45" t="s">
        <v>28</v>
      </c>
      <c r="F16" s="33" t="s">
        <v>58</v>
      </c>
      <c r="G16" s="45" t="s">
        <v>39</v>
      </c>
      <c r="H16" s="33" t="s">
        <v>59</v>
      </c>
      <c r="I16" s="45" t="s">
        <v>45</v>
      </c>
      <c r="J16" s="65">
        <v>2</v>
      </c>
      <c r="K16" s="66">
        <v>50</v>
      </c>
      <c r="L16" s="66"/>
    </row>
    <row r="17" spans="1:12" ht="77.25" thickBot="1" x14ac:dyDescent="0.3">
      <c r="A17" s="1"/>
      <c r="B17" s="53">
        <f t="shared" si="0"/>
        <v>8</v>
      </c>
      <c r="C17" s="44" t="s">
        <v>74</v>
      </c>
      <c r="D17" s="32" t="s">
        <v>75</v>
      </c>
      <c r="E17" s="44" t="s">
        <v>46</v>
      </c>
      <c r="F17" s="32" t="s">
        <v>76</v>
      </c>
      <c r="G17" s="44" t="s">
        <v>77</v>
      </c>
      <c r="H17" s="32" t="s">
        <v>78</v>
      </c>
      <c r="I17" s="46" t="s">
        <v>47</v>
      </c>
      <c r="J17" s="50">
        <v>2</v>
      </c>
      <c r="K17" s="40">
        <v>50</v>
      </c>
      <c r="L17" s="40"/>
    </row>
    <row r="18" spans="1:12" ht="26.25" thickBot="1" x14ac:dyDescent="0.3">
      <c r="A18" s="1"/>
      <c r="B18" s="53">
        <f t="shared" si="0"/>
        <v>9</v>
      </c>
      <c r="C18" s="45" t="s">
        <v>15</v>
      </c>
      <c r="D18" s="33" t="s">
        <v>23</v>
      </c>
      <c r="E18" s="45" t="s">
        <v>29</v>
      </c>
      <c r="F18" s="33" t="s">
        <v>33</v>
      </c>
      <c r="G18" s="45" t="s">
        <v>40</v>
      </c>
      <c r="H18" s="33" t="s">
        <v>56</v>
      </c>
      <c r="I18" s="42" t="s">
        <v>47</v>
      </c>
      <c r="J18" s="65">
        <v>1</v>
      </c>
      <c r="K18" s="66">
        <v>6</v>
      </c>
      <c r="L18" s="66"/>
    </row>
    <row r="19" spans="1:12" ht="15.75" thickBot="1" x14ac:dyDescent="0.3">
      <c r="A19" s="1"/>
      <c r="B19" s="53">
        <f t="shared" si="0"/>
        <v>10</v>
      </c>
      <c r="C19" s="80" t="s">
        <v>16</v>
      </c>
      <c r="D19" s="81" t="s">
        <v>24</v>
      </c>
      <c r="E19" s="80" t="s">
        <v>30</v>
      </c>
      <c r="F19" s="81" t="s">
        <v>34</v>
      </c>
      <c r="G19" s="80" t="s">
        <v>41</v>
      </c>
      <c r="H19" s="81" t="s">
        <v>57</v>
      </c>
      <c r="I19" s="82" t="s">
        <v>47</v>
      </c>
      <c r="J19" s="83">
        <v>2</v>
      </c>
      <c r="K19" s="84">
        <v>11</v>
      </c>
      <c r="L19" s="84"/>
    </row>
    <row r="20" spans="1:12" x14ac:dyDescent="0.25">
      <c r="A20" s="1"/>
      <c r="B20" s="52"/>
      <c r="C20" s="47" t="s">
        <v>5</v>
      </c>
      <c r="D20" s="48"/>
      <c r="E20" s="61"/>
      <c r="F20" s="61"/>
      <c r="G20" s="61"/>
      <c r="H20" s="61"/>
      <c r="I20" s="61"/>
      <c r="J20" s="61"/>
      <c r="K20" s="74"/>
      <c r="L20" s="75"/>
    </row>
    <row r="21" spans="1:12" ht="15.75" thickBot="1" x14ac:dyDescent="0.3">
      <c r="A21" s="1"/>
      <c r="B21" s="24"/>
      <c r="C21" s="8" t="s">
        <v>6</v>
      </c>
      <c r="D21" s="9"/>
      <c r="E21" s="62"/>
      <c r="F21" s="62"/>
      <c r="G21" s="62"/>
      <c r="H21" s="62"/>
      <c r="I21" s="62"/>
      <c r="J21" s="62"/>
      <c r="K21" s="76"/>
      <c r="L21" s="77"/>
    </row>
  </sheetData>
  <mergeCells count="4">
    <mergeCell ref="I1:J1"/>
    <mergeCell ref="L3:L8"/>
    <mergeCell ref="K20:L21"/>
    <mergeCell ref="I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2022-06-30T11:18:48Z</dcterms:modified>
</cp:coreProperties>
</file>