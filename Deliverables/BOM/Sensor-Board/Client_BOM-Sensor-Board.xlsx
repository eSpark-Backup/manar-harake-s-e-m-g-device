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B6A8CDE1-AEF6-4F51-901C-6861A782CA3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<sst xmlns="http://schemas.openxmlformats.org/spreadsheetml/2006/main" count="101" uniqueCount="83">
  <si>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</si>
  <si>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</si>
  <si>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</si>
  <si>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</si>
  <si>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</si>
  <si>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</si>
  <si>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</si>
  <si>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</si>
  <si>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</si>
  <si>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</si>
  <si>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</si>
  <si>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</si>
  <si>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</si>
  <si>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</si>
  <si>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</si>
  <si>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</si>
  <si>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</si>
  <si>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</si>
  <si>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</si>
  <si>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</si>
  <si>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</si>
  <si>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</si>
  <si>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</si>
  <si>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</si>
  <si>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</si>
  <si>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</si>
  <si>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</si>
  <si>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</si>
  <si>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</si>
  <si>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</si>
  <si>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</si>
  <si>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</si>
  <si>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</si>
  <si>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</si>
  <si>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</si>
  <si>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</si>
  <si>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</si>
  <si>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</si>
  <si>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</si>
  <si>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</si>
  <si>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</si>
  <si>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</si>
  <si>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</si>
  <si>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</si>
  <si>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</si>
  <si>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Res0402</t>
  </si>
  <si>
    <t>Res0603</t>
  </si>
  <si>
    <t>SOIC-8</t>
  </si>
  <si>
    <t>SOT-23-5</t>
  </si>
  <si>
    <t>SO-14</t>
  </si>
  <si>
    <t>Manufacturer Part Number</t>
  </si>
  <si>
    <t>GRM155R71H104ME14D</t>
  </si>
  <si>
    <t>CL10A106MA8NRNC</t>
  </si>
  <si>
    <t>CC0402KRX5R7BB105</t>
  </si>
  <si>
    <t>CGA2B2X7R1E223K050BA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</si>
  <si>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</si>
  <si>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</si>
  <si>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</si>
  <si>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</si>
  <si>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</si>
  <si>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</si>
  <si>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</si>
  <si>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</si>
  <si>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</si>
  <si>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</si>
  <si>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</si>
  <si>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</si>
  <si>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</si>
  <si>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</si>
  <si>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</si>
  <si>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</si>
  <si>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</si>
  <si>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</si>
  <si>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</si>
  <si>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</si>
  <si>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</si>
  <si>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240R</t>
  </si>
  <si>
    <t>64K</t>
  </si>
  <si>
    <t>6K8</t>
  </si>
  <si>
    <t>150K</t>
  </si>
  <si>
    <t>Quantity</t>
  </si>
  <si>
    <t>Custom</t>
  </si>
  <si>
    <t>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</si>
</sst>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4" xfId="0" applyFont="1" applyFill="1" applyBorder="1" applyAlignment="1">
      <alignment vertical="center"/>
    </xf>
    <xf numFmtId="0" fontId="7" fillId="3" borderId="13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0" fillId="3" borderId="5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5" fillId="3" borderId="13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164" fontId="13" fillId="3" borderId="5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13" fillId="3" borderId="17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1" fillId="3" borderId="0" xfId="0" applyNumberFormat="1" applyFont="1" applyFill="1" applyBorder="1" applyAlignment="1" applyProtection="1">
      <alignment vertical="center"/>
      <protection locked="0"/>
    </xf>
    <xf numFmtId="0" fontId="12" fillId="3" borderId="0" xfId="0" applyNumberFormat="1" applyFont="1" applyFill="1" applyBorder="1" applyAlignment="1" applyProtection="1">
      <alignment horizontal="left" vertical="center"/>
      <protection locked="0"/>
    </xf>
    <xf numFmtId="0" fontId="11" fillId="3" borderId="8" xfId="0" applyNumberFormat="1" applyFont="1" applyFill="1" applyBorder="1" applyAlignment="1" applyProtection="1">
      <alignment horizontal="center" vertical="center"/>
      <protection locked="0"/>
    </xf>
    <xf numFmtId="0" fontId="12" fillId="2" borderId="7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5" fillId="3" borderId="13" xfId="0" quotePrefix="1" applyFont="1" applyFill="1" applyBorder="1" applyAlignment="1">
      <alignment vertical="center"/>
    </xf>
    <xf numFmtId="0" fontId="15" fillId="3" borderId="0" xfId="0" quotePrefix="1" applyFont="1" applyFill="1" applyBorder="1" applyAlignment="1">
      <alignment horizontal="left"/>
    </xf>
    <xf numFmtId="0" fontId="15" fillId="3" borderId="6" xfId="0" quotePrefix="1" applyFont="1" applyFill="1" applyBorder="1" applyAlignment="1">
      <alignment horizontal="left"/>
    </xf>
    <xf numFmtId="0" fontId="15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8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19" xfId="0" applyFont="1" applyFill="1" applyBorder="1" applyAlignment="1">
      <alignment horizontal="center" vertical="center"/>
    </xf>
    <xf numFmtId="0" fontId="12" fillId="2" borderId="7" xfId="0" quotePrefix="1" applyFont="1" applyFill="1" applyBorder="1" applyAlignment="1">
      <alignment horizontal="center" vertical="center" wrapText="1"/>
    </xf>
    <xf numFmtId="0" fontId="12" fillId="4" borderId="7" xfId="0" quotePrefix="1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/>
    </xf>
    <xf numFmtId="0" fontId="17" fillId="4" borderId="15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9525</xdr:colOff>
      <xdr:row>2</xdr:row>
      <xdr:rowOff>10417</xdr:rowOff>
    </xdr:from>
    <xdr:to>
      <xdr:col>8</xdr:col>
      <xdr:colOff>1724025</xdr:colOff>
      <xdr:row>7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315950" y="60096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5"/>
  <sheetViews>
    <sheetView tabSelected="1" workbookViewId="0">
      <selection activeCell="D28" sqref="D28"/>
    </sheetView>
  </sheetViews>
  <sheetFormatPr defaultRowHeight="15" x14ac:dyDescent="0.25"/>
  <cols>
    <col min="2" max="2" width="3.140625" style="29" customWidth="1"/>
    <col min="3" max="3" width="36" bestFit="1" customWidth="1"/>
    <col min="4" max="4" width="23.5703125" customWidth="1"/>
    <col min="5" max="5" width="26.5703125" bestFit="1" customWidth="1"/>
    <col min="6" max="6" width="29.42578125" bestFit="1" customWidth="1"/>
    <col min="7" max="7" width="18.85546875" bestFit="1" customWidth="1"/>
    <col min="8" max="8" width="29.42578125" bestFit="1" customWidth="1"/>
    <col min="9" max="9" width="26.85546875" bestFit="1" customWidth="1"/>
  </cols>
  <sheetData>
    <row r="1" spans="1:9" ht="15.75" thickBot="1" x14ac:dyDescent="0.3">
      <c r="A1" s="1"/>
      <c r="B1" s="22"/>
      <c r="C1" s="2"/>
      <c r="D1" s="2"/>
      <c r="E1" s="2"/>
      <c r="F1" s="2"/>
      <c r="G1" s="2"/>
      <c r="H1" s="39"/>
      <c r="I1" s="40"/>
    </row>
    <row r="2" spans="1:9" ht="32.25" thickBot="1" x14ac:dyDescent="0.3">
      <c r="A2" s="1"/>
      <c r="B2" s="23"/>
      <c r="C2" s="12" t="s">
        <v>0</v>
      </c>
      <c r="D2" s="12"/>
      <c r="E2" s="35" t="s">
        <v>7</v>
      </c>
      <c r="F2" s="13"/>
      <c r="G2" s="4"/>
      <c r="H2" s="4"/>
      <c r="I2" s="3"/>
    </row>
    <row r="3" spans="1:9" ht="15.75" x14ac:dyDescent="0.25">
      <c r="A3" s="1"/>
      <c r="B3" s="24"/>
      <c r="C3" s="14" t="s">
        <v>1</v>
      </c>
      <c r="D3" s="14"/>
      <c r="E3" s="36" t="s">
        <v>8</v>
      </c>
      <c r="F3" s="14"/>
      <c r="G3" s="5"/>
      <c r="H3" s="5"/>
      <c r="I3" s="41"/>
    </row>
    <row r="4" spans="1:9" ht="15.75" x14ac:dyDescent="0.25">
      <c r="A4" s="1"/>
      <c r="B4" s="24"/>
      <c r="C4" s="14" t="s">
        <v>2</v>
      </c>
      <c r="D4" s="14"/>
      <c r="E4" s="37" t="s">
        <v>8</v>
      </c>
      <c r="F4" s="15"/>
      <c r="G4" s="7"/>
      <c r="H4" s="7"/>
      <c r="I4" s="42"/>
    </row>
    <row r="5" spans="1:9" ht="15.75" x14ac:dyDescent="0.25">
      <c r="A5" s="1"/>
      <c r="B5" s="24"/>
      <c r="C5" s="14" t="s">
        <v>3</v>
      </c>
      <c r="D5" s="14"/>
      <c r="E5" s="38" t="s">
        <v>9</v>
      </c>
      <c r="F5" s="16"/>
      <c r="G5" s="6"/>
      <c r="H5" s="6"/>
      <c r="I5" s="42"/>
    </row>
    <row r="6" spans="1:9" x14ac:dyDescent="0.25">
      <c r="A6" s="1"/>
      <c r="B6" s="25"/>
      <c r="C6" s="17"/>
      <c r="D6" s="17"/>
      <c r="E6" s="18"/>
      <c r="F6" s="16"/>
      <c r="G6" s="6"/>
      <c r="H6" s="6"/>
      <c r="I6" s="42"/>
    </row>
    <row r="7" spans="1:9" x14ac:dyDescent="0.25">
      <c r="A7" s="1"/>
      <c r="B7" s="26"/>
      <c r="C7" s="19"/>
      <c r="D7" s="19"/>
      <c r="E7" s="20"/>
      <c r="F7" s="19"/>
      <c r="G7" s="8"/>
      <c r="H7" s="8"/>
      <c r="I7" s="42"/>
    </row>
    <row r="8" spans="1:9" x14ac:dyDescent="0.25">
      <c r="A8" s="1"/>
      <c r="B8" s="27"/>
      <c r="C8" s="16"/>
      <c r="D8" s="16"/>
      <c r="E8" s="21"/>
      <c r="F8" s="19"/>
      <c r="G8" s="8"/>
      <c r="H8" s="9"/>
      <c r="I8" s="42"/>
    </row>
    <row r="9" spans="1:9" ht="15.75" x14ac:dyDescent="0.25">
      <c r="A9" s="1"/>
      <c r="B9" s="51" t="s">
        <v>4</v>
      </c>
      <c r="C9" s="52" t="s">
        <v>10</v>
      </c>
      <c r="D9" s="52" t="s">
        <v>25</v>
      </c>
      <c r="E9" s="52" t="s">
        <v>40</v>
      </c>
      <c r="F9" s="52" t="s">
        <v>50</v>
      </c>
      <c r="G9" s="52" t="s">
        <v>61</v>
      </c>
      <c r="H9" s="52" t="s">
        <v>71</v>
      </c>
      <c r="I9" s="53" t="s">
        <v>80</v>
      </c>
    </row>
    <row r="10" spans="1:9" ht="25.5" x14ac:dyDescent="0.25">
      <c r="A10" s="1"/>
      <c r="B10" s="54">
        <f>ROW(B10) - ROW($B$9)</f>
        <v>1</v>
      </c>
      <c r="C10" s="33" t="s">
        <v>11</v>
      </c>
      <c r="D10" s="33" t="s">
        <v>26</v>
      </c>
      <c r="E10" s="33" t="s">
        <v>41</v>
      </c>
      <c r="F10" s="33" t="s">
        <v>51</v>
      </c>
      <c r="G10" s="33" t="s">
        <v>62</v>
      </c>
      <c r="H10" s="33" t="s">
        <v>72</v>
      </c>
      <c r="I10" s="49">
        <v>17</v>
      </c>
    </row>
    <row r="11" spans="1:9" ht="15.75" x14ac:dyDescent="0.25">
      <c r="A11" s="1"/>
      <c r="B11" s="54">
        <f t="shared" ref="B11:B23" si="0">ROW(B11) - ROW($B$9)</f>
        <v>2</v>
      </c>
      <c r="C11" s="34" t="s">
        <v>12</v>
      </c>
      <c r="D11" s="34" t="s">
        <v>27</v>
      </c>
      <c r="E11" s="34" t="s">
        <v>42</v>
      </c>
      <c r="F11" s="34" t="s">
        <v>52</v>
      </c>
      <c r="G11" s="34" t="s">
        <v>63</v>
      </c>
      <c r="H11" s="34" t="s">
        <v>73</v>
      </c>
      <c r="I11" s="50">
        <v>8</v>
      </c>
    </row>
    <row r="12" spans="1:9" ht="15.75" x14ac:dyDescent="0.25">
      <c r="A12" s="1"/>
      <c r="B12" s="54">
        <f>ROW(B12) - ROW($B$9)</f>
        <v>3</v>
      </c>
      <c r="C12" s="33" t="s">
        <v>13</v>
      </c>
      <c r="D12" s="33" t="s">
        <v>28</v>
      </c>
      <c r="E12" s="33" t="s">
        <v>41</v>
      </c>
      <c r="F12" s="33" t="s">
        <v>53</v>
      </c>
      <c r="G12" s="33" t="s">
        <v>64</v>
      </c>
      <c r="H12" s="33" t="s">
        <v>74</v>
      </c>
      <c r="I12" s="49">
        <v>2</v>
      </c>
    </row>
    <row r="13" spans="1:9" ht="25.5" x14ac:dyDescent="0.25">
      <c r="A13" s="1"/>
      <c r="B13" s="54">
        <f t="shared" si="0"/>
        <v>4</v>
      </c>
      <c r="C13" s="34" t="s">
        <v>14</v>
      </c>
      <c r="D13" s="34" t="s">
        <v>29</v>
      </c>
      <c r="E13" s="34" t="s">
        <v>41</v>
      </c>
      <c r="F13" s="34" t="s">
        <v>54</v>
      </c>
      <c r="G13" s="34" t="s">
        <v>65</v>
      </c>
      <c r="H13" s="34" t="s">
        <v>75</v>
      </c>
      <c r="I13" s="50">
        <v>8</v>
      </c>
    </row>
    <row r="14" spans="1:9" ht="25.5" x14ac:dyDescent="0.25">
      <c r="A14" s="1"/>
      <c r="B14" s="54">
        <f>ROW(B14) - ROW($B$9)</f>
        <v>5</v>
      </c>
      <c r="C14" s="33" t="s">
        <v>15</v>
      </c>
      <c r="D14" s="33" t="s">
        <v>30</v>
      </c>
      <c r="E14" s="33" t="s">
        <v>81</v>
      </c>
      <c r="F14" s="33" t="s">
        <v>43</v>
      </c>
      <c r="G14" s="33" t="s">
        <v>66</v>
      </c>
      <c r="H14" s="47" t="s">
        <v>82</v>
      </c>
      <c r="I14" s="49">
        <v>1</v>
      </c>
    </row>
    <row r="15" spans="1:9" ht="15.75" x14ac:dyDescent="0.25">
      <c r="A15" s="1"/>
      <c r="B15" s="54">
        <f t="shared" si="0"/>
        <v>6</v>
      </c>
      <c r="C15" s="34" t="s">
        <v>16</v>
      </c>
      <c r="D15" s="34" t="s">
        <v>31</v>
      </c>
      <c r="E15" s="34" t="s">
        <v>81</v>
      </c>
      <c r="F15" s="34" t="s">
        <v>44</v>
      </c>
      <c r="G15" s="34" t="s">
        <v>66</v>
      </c>
      <c r="H15" s="48" t="s">
        <v>82</v>
      </c>
      <c r="I15" s="50">
        <v>1</v>
      </c>
    </row>
    <row r="16" spans="1:9" ht="25.5" x14ac:dyDescent="0.25">
      <c r="A16" s="1"/>
      <c r="B16" s="54">
        <f>ROW(B16) - ROW($B$9)</f>
        <v>7</v>
      </c>
      <c r="C16" s="33" t="s">
        <v>17</v>
      </c>
      <c r="D16" s="33" t="s">
        <v>32</v>
      </c>
      <c r="E16" s="33" t="s">
        <v>81</v>
      </c>
      <c r="F16" s="47" t="s">
        <v>82</v>
      </c>
      <c r="G16" s="47" t="s">
        <v>82</v>
      </c>
      <c r="H16" s="47" t="s">
        <v>82</v>
      </c>
      <c r="I16" s="49">
        <v>19</v>
      </c>
    </row>
    <row r="17" spans="1:9" ht="38.25" x14ac:dyDescent="0.25">
      <c r="A17" s="1"/>
      <c r="B17" s="54">
        <f t="shared" si="0"/>
        <v>8</v>
      </c>
      <c r="C17" s="34" t="s">
        <v>18</v>
      </c>
      <c r="D17" s="34" t="s">
        <v>33</v>
      </c>
      <c r="E17" s="34" t="s">
        <v>45</v>
      </c>
      <c r="F17" s="34" t="s">
        <v>55</v>
      </c>
      <c r="G17" s="34" t="s">
        <v>64</v>
      </c>
      <c r="H17" s="34" t="s">
        <v>76</v>
      </c>
      <c r="I17" s="50">
        <v>8</v>
      </c>
    </row>
    <row r="18" spans="1:9" ht="63.75" x14ac:dyDescent="0.25">
      <c r="A18" s="1"/>
      <c r="B18" s="54">
        <f>ROW(B18) - ROW($B$9)</f>
        <v>9</v>
      </c>
      <c r="C18" s="33" t="s">
        <v>19</v>
      </c>
      <c r="D18" s="33" t="s">
        <v>34</v>
      </c>
      <c r="E18" s="33" t="s">
        <v>46</v>
      </c>
      <c r="F18" s="33"/>
      <c r="G18" s="33" t="s">
        <v>67</v>
      </c>
      <c r="H18" s="33" t="s">
        <v>77</v>
      </c>
      <c r="I18" s="49">
        <v>2</v>
      </c>
    </row>
    <row r="19" spans="1:9" ht="38.25" x14ac:dyDescent="0.25">
      <c r="A19" s="1"/>
      <c r="B19" s="54">
        <f t="shared" si="0"/>
        <v>10</v>
      </c>
      <c r="C19" s="34" t="s">
        <v>20</v>
      </c>
      <c r="D19" s="34" t="s">
        <v>35</v>
      </c>
      <c r="E19" s="34" t="s">
        <v>45</v>
      </c>
      <c r="F19" s="34" t="s">
        <v>56</v>
      </c>
      <c r="G19" s="34" t="s">
        <v>64</v>
      </c>
      <c r="H19" s="34" t="s">
        <v>78</v>
      </c>
      <c r="I19" s="50">
        <v>8</v>
      </c>
    </row>
    <row r="20" spans="1:9" ht="25.5" x14ac:dyDescent="0.25">
      <c r="A20" s="1"/>
      <c r="B20" s="54">
        <f>ROW(B20) - ROW($B$9)</f>
        <v>11</v>
      </c>
      <c r="C20" s="33" t="s">
        <v>21</v>
      </c>
      <c r="D20" s="33" t="s">
        <v>36</v>
      </c>
      <c r="E20" s="33" t="s">
        <v>45</v>
      </c>
      <c r="F20" s="33" t="s">
        <v>57</v>
      </c>
      <c r="G20" s="33" t="s">
        <v>64</v>
      </c>
      <c r="H20" s="33" t="s">
        <v>79</v>
      </c>
      <c r="I20" s="49">
        <v>8</v>
      </c>
    </row>
    <row r="21" spans="1:9" ht="25.5" x14ac:dyDescent="0.25">
      <c r="A21" s="1"/>
      <c r="B21" s="54">
        <f t="shared" si="0"/>
        <v>12</v>
      </c>
      <c r="C21" s="34" t="s">
        <v>22</v>
      </c>
      <c r="D21" s="34" t="s">
        <v>37</v>
      </c>
      <c r="E21" s="34" t="s">
        <v>47</v>
      </c>
      <c r="F21" s="34" t="s">
        <v>58</v>
      </c>
      <c r="G21" s="34" t="s">
        <v>68</v>
      </c>
      <c r="H21" s="48" t="s">
        <v>82</v>
      </c>
      <c r="I21" s="50">
        <v>8</v>
      </c>
    </row>
    <row r="22" spans="1:9" ht="25.5" x14ac:dyDescent="0.25">
      <c r="A22" s="1"/>
      <c r="B22" s="54">
        <f>ROW(B22) - ROW($B$9)</f>
        <v>13</v>
      </c>
      <c r="C22" s="33" t="s">
        <v>23</v>
      </c>
      <c r="D22" s="33" t="s">
        <v>38</v>
      </c>
      <c r="E22" s="33" t="s">
        <v>48</v>
      </c>
      <c r="F22" s="33" t="s">
        <v>59</v>
      </c>
      <c r="G22" s="33" t="s">
        <v>69</v>
      </c>
      <c r="H22" s="47" t="s">
        <v>82</v>
      </c>
      <c r="I22" s="49">
        <v>1</v>
      </c>
    </row>
    <row r="23" spans="1:9" ht="15.75" x14ac:dyDescent="0.25">
      <c r="A23" s="1"/>
      <c r="B23" s="54">
        <f t="shared" si="0"/>
        <v>14</v>
      </c>
      <c r="C23" s="34" t="s">
        <v>24</v>
      </c>
      <c r="D23" s="34" t="s">
        <v>39</v>
      </c>
      <c r="E23" s="34" t="s">
        <v>49</v>
      </c>
      <c r="F23" s="34" t="s">
        <v>60</v>
      </c>
      <c r="G23" s="34" t="s">
        <v>70</v>
      </c>
      <c r="H23" s="48" t="s">
        <v>82</v>
      </c>
      <c r="I23" s="50">
        <v>2</v>
      </c>
    </row>
    <row r="24" spans="1:9" x14ac:dyDescent="0.25">
      <c r="A24" s="1"/>
      <c r="B24" s="32"/>
      <c r="C24" s="30" t="s">
        <v>5</v>
      </c>
      <c r="D24" s="31"/>
      <c r="E24" s="43"/>
      <c r="F24" s="43"/>
      <c r="G24" s="43"/>
      <c r="H24" s="43"/>
      <c r="I24" s="44"/>
    </row>
    <row r="25" spans="1:9" ht="15.75" thickBot="1" x14ac:dyDescent="0.3">
      <c r="A25" s="1"/>
      <c r="B25" s="28"/>
      <c r="C25" s="10" t="s">
        <v>6</v>
      </c>
      <c r="D25" s="11"/>
      <c r="E25" s="45"/>
      <c r="F25" s="45"/>
      <c r="G25" s="45"/>
      <c r="H25" s="45"/>
      <c r="I25" s="46"/>
    </row>
  </sheetData>
  <mergeCells count="3">
    <mergeCell ref="H1:I1"/>
    <mergeCell ref="I3:I8"/>
    <mergeCell ref="E24:I2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2022-06-16T07:42:44Z</dcterms:modified>
</cp:coreProperties>
</file>