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liverables\BOM\Sensor-Board\"/>
    </mc:Choice>
  </mc:AlternateContent>
  <xr:revisionPtr revIDLastSave="0" documentId="13_ncr:1_{410452D1-C5EC-4045-92FB-C92B84368B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1" i="1" l="1"/>
  <c r="B12" i="1"/>
  <c r="B13" i="1"/>
  <c r="B14" i="1"/>
  <c r="B15" i="1"/>
  <c r="B16" i="1"/>
  <c r="B17" i="1"/>
  <c r="B18" i="1"/>
  <c r="B19" i="1"/>
  <c r="J17" i="1"/>
  <c r="J15" i="1"/>
  <c r="J11" i="1"/>
  <c r="J12" i="1"/>
  <c r="J13" i="1"/>
  <c r="J14" i="1"/>
  <c r="J16" i="1"/>
  <c r="J18" i="1"/>
  <c r="J19" i="1"/>
  <c r="J10" i="1"/>
  <c r="B10" i="1"/>
</calcChain>
</file>

<file path=xl/sharedStrings.xml><?xml version="1.0" encoding="utf-8"?>
<sst xmlns="http://schemas.openxmlformats.org/spreadsheetml/2006/main" count="81" uniqueCount="69">
  <si>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</si>
  <si>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</si>
  <si>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</si>
  <si>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</si>
  <si>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</si>
  <si>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</si>
  <si>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</si>
  <si>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[ArmBand-Sensor-Board.PrjPcb] (No PCB Document Selected)</t>
  </si>
  <si>
    <t>ArmBand-Sensor-Board.PrjPcb</t>
  </si>
  <si>
    <t>None</t>
  </si>
  <si>
    <t>Designator</t>
  </si>
  <si>
    <t>C51, C52</t>
  </si>
  <si>
    <t>J1</t>
  </si>
  <si>
    <t>J2</t>
  </si>
  <si>
    <t>R25, R26</t>
  </si>
  <si>
    <t>U16</t>
  </si>
  <si>
    <t>U17, U18</t>
  </si>
  <si>
    <t>Description</t>
  </si>
  <si>
    <t>CAP CER 0.1UF 50V X7R 0402</t>
  </si>
  <si>
    <t>CAP CER 1UF 16V X5R 0402</t>
  </si>
  <si>
    <t>CONN FPC/FFC 12POS .5MM</t>
  </si>
  <si>
    <t>Test Point ON</t>
  </si>
  <si>
    <t>1/10W Thin Film Resistor 75V ±0.5% ±25ppm/℃ -55℃~+155℃ 64kΩ 0603 Chip Resistor - Surface Mount ROHS</t>
  </si>
  <si>
    <t>SOT-23-5 Operational Amplifier ROHS</t>
  </si>
  <si>
    <t>IC OPAMP GP 1.3MHZ 14SO</t>
  </si>
  <si>
    <t>Footprint</t>
  </si>
  <si>
    <t>Cap 0402</t>
  </si>
  <si>
    <t>FH34SRJ-12S-0.5SH(50)</t>
  </si>
  <si>
    <t>Res0603</t>
  </si>
  <si>
    <t>SOT-23-5</t>
  </si>
  <si>
    <t>SO-14</t>
  </si>
  <si>
    <t>Manufacturer Part Number</t>
  </si>
  <si>
    <t>GRM155R71H104ME14D</t>
  </si>
  <si>
    <t>CC0402KRX5R7BB105</t>
  </si>
  <si>
    <t>TPMCP6021T-E/OT</t>
  </si>
  <si>
    <t>LM324DT</t>
  </si>
  <si>
    <t>Manufacturer</t>
  </si>
  <si>
    <t>Murata</t>
  </si>
  <si>
    <t>Yageo</t>
  </si>
  <si>
    <t>Hirose</t>
  </si>
  <si>
    <t>iking Tech</t>
  </si>
  <si>
    <t>TECH PUBLIC</t>
  </si>
  <si>
    <t>STMicroelectronics</t>
  </si>
  <si>
    <t>Comment</t>
  </si>
  <si>
    <t>0.1uF</t>
  </si>
  <si>
    <t>1uF</t>
  </si>
  <si>
    <t>64K</t>
  </si>
  <si>
    <t>Quantity</t>
  </si>
  <si>
    <t>Custom</t>
  </si>
  <si>
    <t>----------</t>
  </si>
  <si>
    <t>C1, C60</t>
  </si>
  <si>
    <t>ARG03DTC6402N</t>
  </si>
  <si>
    <t>Quantity 5 Boards</t>
  </si>
  <si>
    <t>Slide Lock 32 Bottom Contact Surface Mount 0.5mm SMD,P=0.5mm FFC/FPC Connectors ROHS</t>
  </si>
  <si>
    <t>AFC07-S32FCA-00</t>
  </si>
  <si>
    <t>JUSHUO</t>
  </si>
  <si>
    <t>P1, P3, P5, P7, P9, P11, P13, P15, P16, P18, P20</t>
  </si>
  <si>
    <t>R1, R2</t>
  </si>
  <si>
    <t>RES SMD 10K OHM 1% 1/16W 0402</t>
  </si>
  <si>
    <t>Res0402</t>
  </si>
  <si>
    <t>RC0402FR-0710KL</t>
  </si>
  <si>
    <t>10K</t>
  </si>
  <si>
    <t>SW1, SW2</t>
  </si>
  <si>
    <t>No Gull Wing 50mA 100MΩ 80000 260gf@±50gf 12V -25℃~+85℃ 1.7mm Golden Round Button Brick nogging SPST SMD Tactile Switches ROHS</t>
  </si>
  <si>
    <t>TC-0522C-1.7-260G</t>
  </si>
  <si>
    <t>HCTL</t>
  </si>
  <si>
    <t>-----</t>
  </si>
  <si>
    <t>Remarks</t>
  </si>
  <si>
    <t>DO NOT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</si>
</sst>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24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2"/>
      <color indexed="13"/>
      <name val="Arial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7" fillId="3" borderId="12" xfId="0" applyFont="1" applyFill="1" applyBorder="1" applyAlignment="1">
      <alignment vertical="center"/>
    </xf>
    <xf numFmtId="0" fontId="8" fillId="3" borderId="0" xfId="0" applyFont="1" applyFill="1" applyBorder="1" applyAlignment="1"/>
    <xf numFmtId="0" fontId="9" fillId="3" borderId="5" xfId="0" applyFont="1" applyFill="1" applyBorder="1" applyAlignment="1"/>
    <xf numFmtId="0" fontId="9" fillId="3" borderId="6" xfId="0" applyFont="1" applyFill="1" applyBorder="1" applyAlignment="1"/>
    <xf numFmtId="0" fontId="10" fillId="3" borderId="0" xfId="0" applyFont="1" applyFill="1" applyBorder="1" applyAlignment="1"/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2" fillId="3" borderId="3" xfId="0" applyNumberFormat="1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 applyBorder="1" applyAlignment="1"/>
    <xf numFmtId="0" fontId="13" fillId="3" borderId="6" xfId="0" applyFont="1" applyFill="1" applyBorder="1" applyAlignment="1"/>
    <xf numFmtId="0" fontId="13" fillId="3" borderId="5" xfId="0" applyFont="1" applyFill="1" applyBorder="1" applyAlignment="1"/>
    <xf numFmtId="0" fontId="11" fillId="3" borderId="5" xfId="0" applyFont="1" applyFill="1" applyBorder="1" applyAlignment="1"/>
    <xf numFmtId="0" fontId="13" fillId="3" borderId="5" xfId="0" applyFont="1" applyFill="1" applyBorder="1" applyAlignment="1">
      <alignment horizontal="left"/>
    </xf>
    <xf numFmtId="0" fontId="16" fillId="3" borderId="0" xfId="0" applyFont="1" applyFill="1" applyBorder="1" applyAlignment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5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5" fillId="3" borderId="12" xfId="0" quotePrefix="1" applyFont="1" applyFill="1" applyBorder="1" applyAlignment="1">
      <alignment vertical="center"/>
    </xf>
    <xf numFmtId="0" fontId="15" fillId="3" borderId="0" xfId="0" quotePrefix="1" applyFont="1" applyFill="1" applyBorder="1" applyAlignment="1">
      <alignment horizontal="left"/>
    </xf>
    <xf numFmtId="0" fontId="15" fillId="3" borderId="6" xfId="0" quotePrefix="1" applyFont="1" applyFill="1" applyBorder="1" applyAlignment="1">
      <alignment horizontal="left"/>
    </xf>
    <xf numFmtId="0" fontId="15" fillId="3" borderId="5" xfId="0" quotePrefix="1" applyFont="1" applyFill="1" applyBorder="1" applyAlignment="1">
      <alignment horizontal="left"/>
    </xf>
    <xf numFmtId="0" fontId="17" fillId="0" borderId="14" xfId="0" applyFont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0" fontId="17" fillId="4" borderId="19" xfId="0" applyFont="1" applyFill="1" applyBorder="1" applyAlignment="1">
      <alignment horizontal="center" vertical="center"/>
    </xf>
    <xf numFmtId="0" fontId="11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3" borderId="11" xfId="0" applyNumberFormat="1" applyFont="1" applyFill="1" applyBorder="1" applyAlignment="1" applyProtection="1">
      <alignment vertical="center"/>
      <protection locked="0"/>
    </xf>
    <xf numFmtId="0" fontId="12" fillId="3" borderId="11" xfId="0" applyNumberFormat="1" applyFont="1" applyFill="1" applyBorder="1" applyAlignment="1" applyProtection="1">
      <alignment horizontal="left" vertical="center"/>
      <protection locked="0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 applyBorder="1" applyAlignment="1"/>
    <xf numFmtId="164" fontId="13" fillId="3" borderId="0" xfId="0" applyNumberFormat="1" applyFont="1" applyFill="1" applyBorder="1" applyAlignment="1">
      <alignment horizontal="left"/>
    </xf>
    <xf numFmtId="0" fontId="17" fillId="0" borderId="20" xfId="0" applyFont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5" fillId="5" borderId="12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5" fillId="5" borderId="18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9" fillId="2" borderId="17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/>
    </xf>
    <xf numFmtId="0" fontId="15" fillId="5" borderId="2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2" borderId="24" xfId="0" quotePrefix="1" applyFont="1" applyFill="1" applyBorder="1" applyAlignment="1">
      <alignment horizontal="center" vertical="center" wrapText="1"/>
    </xf>
    <xf numFmtId="0" fontId="12" fillId="4" borderId="24" xfId="0" quotePrefix="1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7" fillId="0" borderId="17" xfId="0" applyFont="1" applyBorder="1" applyAlignment="1">
      <alignment horizontal="center" vertical="center"/>
    </xf>
    <xf numFmtId="0" fontId="17" fillId="4" borderId="22" xfId="0" applyFont="1" applyFill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 vertical="center" wrapText="1"/>
    </xf>
    <xf numFmtId="0" fontId="22" fillId="2" borderId="2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22" xfId="0" quotePrefix="1" applyFont="1" applyFill="1" applyBorder="1" applyAlignment="1">
      <alignment horizontal="center" vertical="center" wrapText="1"/>
    </xf>
    <xf numFmtId="0" fontId="22" fillId="2" borderId="6" xfId="0" quotePrefix="1" applyFont="1" applyFill="1" applyBorder="1" applyAlignment="1">
      <alignment horizontal="center" vertical="center" wrapText="1"/>
    </xf>
    <xf numFmtId="0" fontId="22" fillId="2" borderId="24" xfId="0" quotePrefix="1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0" fillId="5" borderId="25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quotePrefix="1" applyFont="1" applyFill="1" applyBorder="1" applyAlignment="1">
      <alignment horizontal="center" vertical="center" wrapText="1"/>
    </xf>
    <xf numFmtId="0" fontId="17" fillId="4" borderId="2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19050</xdr:colOff>
      <xdr:row>2</xdr:row>
      <xdr:rowOff>19942</xdr:rowOff>
    </xdr:from>
    <xdr:ext cx="1714500" cy="1104008"/>
    <xdr:pic>
      <xdr:nvPicPr>
        <xdr:cNvPr id="3" name="Picture 2">
          <a:extLst>
            <a:ext uri="{FF2B5EF4-FFF2-40B4-BE49-F238E27FC236}">
              <a16:creationId xmlns:a16="http://schemas.microsoft.com/office/drawing/2014/main" id="{1A1056AA-F661-4692-ABD4-D7F92465C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144250" y="629542"/>
          <a:ext cx="1714500" cy="11040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1"/>
  <sheetViews>
    <sheetView tabSelected="1" workbookViewId="0">
      <selection activeCell="J24" sqref="J24"/>
    </sheetView>
  </sheetViews>
  <sheetFormatPr defaultRowHeight="15" x14ac:dyDescent="0.25"/>
  <cols>
    <col min="2" max="2" width="3.140625" style="25" customWidth="1"/>
    <col min="3" max="3" width="36" bestFit="1" customWidth="1"/>
    <col min="4" max="4" width="23.5703125" customWidth="1"/>
    <col min="5" max="5" width="26.5703125" bestFit="1" customWidth="1"/>
    <col min="6" max="6" width="29.42578125" bestFit="1" customWidth="1"/>
    <col min="7" max="7" width="18.85546875" bestFit="1" customWidth="1"/>
    <col min="8" max="8" width="10.42578125" bestFit="1" customWidth="1"/>
    <col min="9" max="9" width="9.7109375" bestFit="1" customWidth="1"/>
    <col min="10" max="11" width="26.85546875" bestFit="1" customWidth="1"/>
  </cols>
  <sheetData>
    <row r="1" spans="1:11" ht="15.75" thickBot="1" x14ac:dyDescent="0.3">
      <c r="A1" s="1"/>
      <c r="B1" s="19"/>
      <c r="C1" s="2"/>
      <c r="D1" s="2"/>
      <c r="E1" s="2"/>
      <c r="F1" s="2"/>
      <c r="G1" s="2"/>
      <c r="H1" s="67"/>
      <c r="I1" s="68"/>
    </row>
    <row r="2" spans="1:11" ht="32.25" thickBot="1" x14ac:dyDescent="0.3">
      <c r="A2" s="1"/>
      <c r="B2" s="20"/>
      <c r="C2" s="10" t="s">
        <v>0</v>
      </c>
      <c r="D2" s="10"/>
      <c r="E2" s="26" t="s">
        <v>7</v>
      </c>
      <c r="F2" s="11"/>
      <c r="G2" s="3"/>
      <c r="H2" s="3"/>
      <c r="I2" s="75"/>
      <c r="J2" s="75"/>
      <c r="K2" s="76"/>
    </row>
    <row r="3" spans="1:11" ht="15.75" x14ac:dyDescent="0.25">
      <c r="A3" s="1"/>
      <c r="B3" s="21"/>
      <c r="C3" s="12" t="s">
        <v>1</v>
      </c>
      <c r="D3" s="12"/>
      <c r="E3" s="27" t="s">
        <v>8</v>
      </c>
      <c r="F3" s="12"/>
      <c r="G3" s="4"/>
      <c r="H3" s="4"/>
      <c r="I3" s="4"/>
      <c r="J3" s="4"/>
      <c r="K3" s="69"/>
    </row>
    <row r="4" spans="1:11" ht="15.75" x14ac:dyDescent="0.25">
      <c r="A4" s="1"/>
      <c r="B4" s="21"/>
      <c r="C4" s="12" t="s">
        <v>2</v>
      </c>
      <c r="D4" s="12"/>
      <c r="E4" s="28" t="s">
        <v>8</v>
      </c>
      <c r="F4" s="13"/>
      <c r="G4" s="6"/>
      <c r="H4" s="6"/>
      <c r="I4" s="6"/>
      <c r="J4" s="6"/>
      <c r="K4" s="70"/>
    </row>
    <row r="5" spans="1:11" ht="15.75" x14ac:dyDescent="0.25">
      <c r="A5" s="1"/>
      <c r="B5" s="21"/>
      <c r="C5" s="12" t="s">
        <v>3</v>
      </c>
      <c r="D5" s="12"/>
      <c r="E5" s="29" t="s">
        <v>9</v>
      </c>
      <c r="F5" s="14"/>
      <c r="G5" s="5"/>
      <c r="H5" s="5"/>
      <c r="I5" s="5"/>
      <c r="J5" s="5"/>
      <c r="K5" s="70"/>
    </row>
    <row r="6" spans="1:11" x14ac:dyDescent="0.25">
      <c r="A6" s="1"/>
      <c r="B6" s="22"/>
      <c r="C6" s="15"/>
      <c r="D6" s="15"/>
      <c r="E6" s="16"/>
      <c r="F6" s="14"/>
      <c r="G6" s="5"/>
      <c r="H6" s="5"/>
      <c r="I6" s="5"/>
      <c r="J6" s="5"/>
      <c r="K6" s="70"/>
    </row>
    <row r="7" spans="1:11" x14ac:dyDescent="0.25">
      <c r="A7" s="1"/>
      <c r="B7" s="23"/>
      <c r="C7" s="17"/>
      <c r="D7" s="17"/>
      <c r="E7" s="18"/>
      <c r="F7" s="17"/>
      <c r="G7" s="7"/>
      <c r="H7" s="7"/>
      <c r="I7" s="7"/>
      <c r="J7" s="7"/>
      <c r="K7" s="70"/>
    </row>
    <row r="8" spans="1:11" ht="15.75" thickBot="1" x14ac:dyDescent="0.3">
      <c r="A8" s="1"/>
      <c r="B8" s="36"/>
      <c r="C8" s="37"/>
      <c r="D8" s="37"/>
      <c r="E8" s="38"/>
      <c r="F8" s="17"/>
      <c r="G8" s="7"/>
      <c r="H8" s="7"/>
      <c r="I8" s="7"/>
      <c r="J8" s="7"/>
      <c r="K8" s="70"/>
    </row>
    <row r="9" spans="1:11" ht="16.5" thickBot="1" x14ac:dyDescent="0.3">
      <c r="A9" s="1"/>
      <c r="B9" s="41" t="s">
        <v>4</v>
      </c>
      <c r="C9" s="42" t="s">
        <v>10</v>
      </c>
      <c r="D9" s="47" t="s">
        <v>17</v>
      </c>
      <c r="E9" s="42" t="s">
        <v>25</v>
      </c>
      <c r="F9" s="47" t="s">
        <v>31</v>
      </c>
      <c r="G9" s="42" t="s">
        <v>36</v>
      </c>
      <c r="H9" s="56" t="s">
        <v>43</v>
      </c>
      <c r="I9" s="47" t="s">
        <v>47</v>
      </c>
      <c r="J9" s="40" t="s">
        <v>52</v>
      </c>
      <c r="K9" s="40" t="s">
        <v>67</v>
      </c>
    </row>
    <row r="10" spans="1:11" ht="26.25" thickBot="1" x14ac:dyDescent="0.3">
      <c r="A10" s="1"/>
      <c r="B10" s="66">
        <f>ROW(B10) - ROW($B$9)</f>
        <v>1</v>
      </c>
      <c r="C10" s="43" t="s">
        <v>50</v>
      </c>
      <c r="D10" s="48" t="s">
        <v>18</v>
      </c>
      <c r="E10" s="51" t="s">
        <v>26</v>
      </c>
      <c r="F10" s="48" t="s">
        <v>32</v>
      </c>
      <c r="G10" s="51" t="s">
        <v>37</v>
      </c>
      <c r="H10" s="57" t="s">
        <v>44</v>
      </c>
      <c r="I10" s="62">
        <v>2</v>
      </c>
      <c r="J10" s="39">
        <f>I10*5</f>
        <v>10</v>
      </c>
      <c r="K10" s="39"/>
    </row>
    <row r="11" spans="1:11" ht="15.75" thickBot="1" x14ac:dyDescent="0.3">
      <c r="A11" s="1"/>
      <c r="B11" s="66">
        <f t="shared" ref="B11:B19" si="0">ROW(B11) - ROW($B$9)</f>
        <v>2</v>
      </c>
      <c r="C11" s="44" t="s">
        <v>11</v>
      </c>
      <c r="D11" s="49" t="s">
        <v>19</v>
      </c>
      <c r="E11" s="44" t="s">
        <v>26</v>
      </c>
      <c r="F11" s="49" t="s">
        <v>33</v>
      </c>
      <c r="G11" s="44" t="s">
        <v>38</v>
      </c>
      <c r="H11" s="58" t="s">
        <v>45</v>
      </c>
      <c r="I11" s="63">
        <v>2</v>
      </c>
      <c r="J11" s="31">
        <f t="shared" ref="J11:K19" si="1">I11*5</f>
        <v>10</v>
      </c>
      <c r="K11" s="31"/>
    </row>
    <row r="12" spans="1:11" ht="48.75" thickBot="1" x14ac:dyDescent="0.3">
      <c r="A12" s="1"/>
      <c r="B12" s="66">
        <f t="shared" si="0"/>
        <v>3</v>
      </c>
      <c r="C12" s="45" t="s">
        <v>12</v>
      </c>
      <c r="D12" s="52" t="s">
        <v>53</v>
      </c>
      <c r="E12" s="52" t="s">
        <v>48</v>
      </c>
      <c r="F12" s="43" t="s">
        <v>54</v>
      </c>
      <c r="G12" s="52" t="s">
        <v>55</v>
      </c>
      <c r="H12" s="59" t="s">
        <v>49</v>
      </c>
      <c r="I12" s="64">
        <v>1</v>
      </c>
      <c r="J12" s="30">
        <f t="shared" si="1"/>
        <v>5</v>
      </c>
      <c r="K12" s="30"/>
    </row>
    <row r="13" spans="1:11" ht="15.75" thickBot="1" x14ac:dyDescent="0.3">
      <c r="A13" s="1"/>
      <c r="B13" s="66">
        <f t="shared" si="0"/>
        <v>4</v>
      </c>
      <c r="C13" s="44" t="s">
        <v>13</v>
      </c>
      <c r="D13" s="49" t="s">
        <v>20</v>
      </c>
      <c r="E13" s="44" t="s">
        <v>48</v>
      </c>
      <c r="F13" s="49" t="s">
        <v>27</v>
      </c>
      <c r="G13" s="44" t="s">
        <v>39</v>
      </c>
      <c r="H13" s="60" t="s">
        <v>49</v>
      </c>
      <c r="I13" s="63">
        <v>1</v>
      </c>
      <c r="J13" s="31">
        <f t="shared" si="1"/>
        <v>5</v>
      </c>
      <c r="K13" s="31"/>
    </row>
    <row r="14" spans="1:11" ht="15.75" thickBot="1" x14ac:dyDescent="0.3">
      <c r="A14" s="1"/>
      <c r="B14" s="66">
        <f t="shared" si="0"/>
        <v>5</v>
      </c>
      <c r="C14" s="77" t="s">
        <v>56</v>
      </c>
      <c r="D14" s="78" t="s">
        <v>21</v>
      </c>
      <c r="E14" s="79" t="s">
        <v>48</v>
      </c>
      <c r="F14" s="80" t="s">
        <v>49</v>
      </c>
      <c r="G14" s="81" t="s">
        <v>49</v>
      </c>
      <c r="H14" s="82" t="s">
        <v>49</v>
      </c>
      <c r="I14" s="83">
        <v>11</v>
      </c>
      <c r="J14" s="84">
        <f t="shared" si="1"/>
        <v>55</v>
      </c>
      <c r="K14" s="85" t="s">
        <v>68</v>
      </c>
    </row>
    <row r="15" spans="1:11" ht="24.75" thickBot="1" x14ac:dyDescent="0.3">
      <c r="A15" s="1"/>
      <c r="B15" s="66">
        <f t="shared" si="0"/>
        <v>6</v>
      </c>
      <c r="C15" s="53" t="s">
        <v>57</v>
      </c>
      <c r="D15" s="54" t="s">
        <v>58</v>
      </c>
      <c r="E15" s="53" t="s">
        <v>59</v>
      </c>
      <c r="F15" s="54" t="s">
        <v>60</v>
      </c>
      <c r="G15" s="53" t="s">
        <v>38</v>
      </c>
      <c r="H15" s="54" t="s">
        <v>61</v>
      </c>
      <c r="I15" s="63">
        <v>2</v>
      </c>
      <c r="J15" s="31">
        <f t="shared" si="1"/>
        <v>10</v>
      </c>
      <c r="K15" s="31"/>
    </row>
    <row r="16" spans="1:11" ht="64.5" thickBot="1" x14ac:dyDescent="0.3">
      <c r="A16" s="1"/>
      <c r="B16" s="66">
        <f t="shared" si="0"/>
        <v>7</v>
      </c>
      <c r="C16" s="45" t="s">
        <v>14</v>
      </c>
      <c r="D16" s="50" t="s">
        <v>22</v>
      </c>
      <c r="E16" s="45" t="s">
        <v>28</v>
      </c>
      <c r="F16" s="50" t="s">
        <v>51</v>
      </c>
      <c r="G16" s="45" t="s">
        <v>40</v>
      </c>
      <c r="H16" s="61" t="s">
        <v>46</v>
      </c>
      <c r="I16" s="65">
        <v>2</v>
      </c>
      <c r="J16" s="55">
        <f t="shared" si="1"/>
        <v>10</v>
      </c>
      <c r="K16" s="55"/>
    </row>
    <row r="17" spans="1:11" ht="72.75" thickBot="1" x14ac:dyDescent="0.3">
      <c r="A17" s="1"/>
      <c r="B17" s="66">
        <f t="shared" si="0"/>
        <v>8</v>
      </c>
      <c r="C17" s="53" t="s">
        <v>62</v>
      </c>
      <c r="D17" s="54" t="s">
        <v>63</v>
      </c>
      <c r="E17" s="53" t="s">
        <v>48</v>
      </c>
      <c r="F17" s="54" t="s">
        <v>64</v>
      </c>
      <c r="G17" s="53" t="s">
        <v>65</v>
      </c>
      <c r="H17" s="60" t="s">
        <v>66</v>
      </c>
      <c r="I17" s="63">
        <v>2</v>
      </c>
      <c r="J17" s="31">
        <f t="shared" si="1"/>
        <v>10</v>
      </c>
      <c r="K17" s="31"/>
    </row>
    <row r="18" spans="1:11" ht="26.25" thickBot="1" x14ac:dyDescent="0.3">
      <c r="A18" s="1"/>
      <c r="B18" s="66">
        <f t="shared" si="0"/>
        <v>9</v>
      </c>
      <c r="C18" s="45" t="s">
        <v>15</v>
      </c>
      <c r="D18" s="50" t="s">
        <v>23</v>
      </c>
      <c r="E18" s="45" t="s">
        <v>29</v>
      </c>
      <c r="F18" s="50" t="s">
        <v>34</v>
      </c>
      <c r="G18" s="45" t="s">
        <v>41</v>
      </c>
      <c r="H18" s="59" t="s">
        <v>49</v>
      </c>
      <c r="I18" s="65">
        <v>1</v>
      </c>
      <c r="J18" s="55">
        <f t="shared" si="1"/>
        <v>5</v>
      </c>
      <c r="K18" s="55"/>
    </row>
    <row r="19" spans="1:11" ht="15.75" thickBot="1" x14ac:dyDescent="0.3">
      <c r="A19" s="1"/>
      <c r="B19" s="86">
        <f t="shared" si="0"/>
        <v>10</v>
      </c>
      <c r="C19" s="46" t="s">
        <v>16</v>
      </c>
      <c r="D19" s="87" t="s">
        <v>24</v>
      </c>
      <c r="E19" s="46" t="s">
        <v>30</v>
      </c>
      <c r="F19" s="87" t="s">
        <v>35</v>
      </c>
      <c r="G19" s="46" t="s">
        <v>42</v>
      </c>
      <c r="H19" s="88" t="s">
        <v>49</v>
      </c>
      <c r="I19" s="89">
        <v>2</v>
      </c>
      <c r="J19" s="32">
        <f t="shared" si="1"/>
        <v>10</v>
      </c>
      <c r="K19" s="32"/>
    </row>
    <row r="20" spans="1:11" x14ac:dyDescent="0.25">
      <c r="A20" s="1"/>
      <c r="B20" s="33"/>
      <c r="C20" s="34" t="s">
        <v>5</v>
      </c>
      <c r="D20" s="35"/>
      <c r="E20" s="71"/>
      <c r="F20" s="71"/>
      <c r="G20" s="71"/>
      <c r="H20" s="71"/>
      <c r="I20" s="71"/>
      <c r="J20" s="71"/>
      <c r="K20" s="72"/>
    </row>
    <row r="21" spans="1:11" ht="15.75" thickBot="1" x14ac:dyDescent="0.3">
      <c r="A21" s="1"/>
      <c r="B21" s="24"/>
      <c r="C21" s="8" t="s">
        <v>6</v>
      </c>
      <c r="D21" s="9"/>
      <c r="E21" s="73"/>
      <c r="F21" s="73"/>
      <c r="G21" s="73"/>
      <c r="H21" s="73"/>
      <c r="I21" s="73"/>
      <c r="J21" s="73"/>
      <c r="K21" s="74"/>
    </row>
  </sheetData>
  <mergeCells count="4">
    <mergeCell ref="H1:I1"/>
    <mergeCell ref="K3:K8"/>
    <mergeCell ref="I2:K2"/>
    <mergeCell ref="E20:K2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2022-06-30T11:28:15Z</dcterms:modified>
</cp:coreProperties>
</file>