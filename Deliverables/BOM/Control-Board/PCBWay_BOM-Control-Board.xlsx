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ManarHarake-sEMGDevice\Deliverables\BOM\Control-Board\"/>
    </mc:Choice>
  </mc:AlternateContent>
  <bookViews>
    <workbookView xWindow="-108" yWindow="-108" windowWidth="23256" windowHeight="14016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4" i="2" l="1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<sst xmlns="http://schemas.openxmlformats.org/spreadsheetml/2006/main" count="349" uniqueCount="282">
  <si>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</si>
  <si>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</si>
  <si>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</si>
  <si>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</si>
  <si>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</si>
  <si>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</si>
  <si>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</si>
  <si>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</si>
  <si>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</si>
  <si>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</si>
  <si>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</si>
  <si>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C1, C2, C7</t>
  </si>
  <si>
    <t>C5</t>
  </si>
  <si>
    <t>C8, C25, C26, C27, C28, C39, C40, C50</t>
  </si>
  <si>
    <t>C17</t>
  </si>
  <si>
    <t>C38</t>
  </si>
  <si>
    <t>J1</t>
  </si>
  <si>
    <t>J2</t>
  </si>
  <si>
    <t>J3</t>
  </si>
  <si>
    <t>J4</t>
  </si>
  <si>
    <t>J5</t>
  </si>
  <si>
    <t>J6</t>
  </si>
  <si>
    <t>J7</t>
  </si>
  <si>
    <t>L1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</si>
  <si>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</si>
  <si>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</si>
  <si>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</si>
  <si>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</si>
  <si>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</si>
  <si>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</si>
  <si>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</si>
  <si>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</si>
  <si>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</si>
  <si>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R5, R6, R12, R18, R19, R22, R23, R25, R27</t>
  </si>
  <si>
    <t>R10, R11</t>
  </si>
  <si>
    <t>R20, R21</t>
  </si>
  <si>
    <t>R24</t>
  </si>
  <si>
    <t>SB1, SB2, SB3</t>
  </si>
  <si>
    <t>U1</t>
  </si>
  <si>
    <t>U2</t>
  </si>
  <si>
    <t>U3</t>
  </si>
  <si>
    <t>U4</t>
  </si>
  <si>
    <t>U5</t>
  </si>
  <si>
    <t>U6</t>
  </si>
  <si>
    <t>U7</t>
  </si>
  <si>
    <t>U8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</si>
  <si>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</si>
  <si>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</si>
  <si>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</si>
  <si>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</si>
  <si>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</si>
  <si>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</si>
  <si>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</si>
  <si>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</si>
  <si>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</si>
  <si>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</si>
  <si>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</si>
  <si>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CAP CER 0.8PF 50V C0G/NP0 0402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</si>
  <si>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</si>
  <si>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</si>
  <si>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</si>
  <si>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</si>
  <si>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CONN FPC/FFC 12POS .5MM</t>
  </si>
  <si>
    <t>FIXED IND 2.2UH 1.5A 160MOHM SMD</t>
  </si>
  <si>
    <t>500mA 10uH ±20% 320mΩ 0805 Inductors (SMD) ROHS</t>
  </si>
  <si>
    <t>550mA 15nH ±5% 150mΩ SMD,1.68x1x0.85mm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</si>
  <si>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</si>
  <si>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</si>
  <si>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</si>
  <si>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</si>
  <si>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</si>
  <si>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RES SMD 10K OHM 1% 1/16W 0402</t>
  </si>
  <si>
    <t>RES SMD 100K OHM 1% 1/5W 0402</t>
  </si>
  <si>
    <t>RES SMD 4.7K OHM 5% 1/10W 0402</t>
  </si>
  <si>
    <t>RES 5.1K OHM 1% 1/10W 0603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</si>
  <si>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</si>
  <si>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</si>
  <si>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</si>
  <si>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</si>
  <si>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</si>
  <si>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</si>
  <si>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</si>
  <si>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</si>
  <si>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</si>
  <si>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</si>
  <si>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</si>
  <si>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</si>
  <si>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</si>
  <si>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</si>
  <si>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</si>
  <si>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</si>
  <si>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</si>
  <si>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</si>
  <si>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</si>
  <si>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</si>
  <si>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</si>
  <si>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</si>
  <si>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SMD Header 1x8</t>
  </si>
  <si>
    <t>FH34SRJ-12S-0.5SH(50)</t>
  </si>
  <si>
    <t>HDR1X4 SMD</t>
  </si>
  <si>
    <t>MAKK2016T2R2M</t>
  </si>
  <si>
    <t>Ind0805</t>
  </si>
  <si>
    <t>SCW1608C15NJST</t>
  </si>
  <si>
    <t>IND 0603</t>
  </si>
  <si>
    <t>LVC505040-6R8M-N</t>
  </si>
  <si>
    <t>LED 0402</t>
  </si>
  <si>
    <t>Res0603</t>
  </si>
  <si>
    <t>Res0402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</si>
  <si>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</si>
  <si>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</si>
  <si>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</si>
  <si>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</si>
  <si>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</si>
  <si>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</si>
  <si>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</si>
  <si>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</si>
  <si>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</si>
  <si>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SOT-23-6</t>
  </si>
  <si>
    <t>X321532768KGD2SI</t>
  </si>
  <si>
    <t>X322516MOB4SI</t>
  </si>
  <si>
    <t>XC32M4-32.000-F12NLDT</t>
  </si>
  <si>
    <t>Manufacturer Part Number</t>
  </si>
  <si>
    <t>GRM21BR61E226ME44L</t>
  </si>
  <si>
    <t>CC0402JRNPO9BN200</t>
  </si>
  <si>
    <t>EDK105BBJ475MVLF</t>
  </si>
  <si>
    <t>CC0402KRX5R7BB105</t>
  </si>
  <si>
    <t>GRM155R61E225KE11D</t>
  </si>
  <si>
    <t>GJM1555C1HR80WB01D</t>
  </si>
  <si>
    <t>MGFL2012F100MT-LF</t>
  </si>
  <si>
    <t>LQW18AN3N9C10D</t>
  </si>
  <si>
    <t>BLM18PG300SN1D</t>
  </si>
  <si>
    <t>RC0402FR-0710KL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</si>
  <si>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</si>
  <si>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</si>
  <si>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</si>
  <si>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</si>
  <si>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</si>
  <si>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</si>
  <si>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</si>
  <si>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</si>
  <si>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VRD2828PTX</t>
  </si>
  <si>
    <t>Manufacturer</t>
  </si>
  <si>
    <t>Murata</t>
  </si>
  <si>
    <t>Samsung</t>
  </si>
  <si>
    <t>Yageo</t>
  </si>
  <si>
    <t>Taiyo Yuden</t>
  </si>
  <si>
    <t>Hirose</t>
  </si>
  <si>
    <t>TE Connectivity AMP</t>
  </si>
  <si>
    <t>JST</t>
  </si>
  <si>
    <t>XFCN</t>
  </si>
  <si>
    <t>microgate</t>
  </si>
  <si>
    <t>Sunltech</t>
  </si>
  <si>
    <t>Chlisin Elec</t>
  </si>
  <si>
    <t>SunLED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</si>
  <si>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</si>
  <si>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</si>
  <si>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</si>
  <si>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</si>
  <si>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</si>
  <si>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</si>
  <si>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</si>
  <si>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</si>
  <si>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</si>
  <si>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</si>
  <si>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AnaSem</t>
  </si>
  <si>
    <t>Yangxing Tech</t>
  </si>
  <si>
    <t>HCI</t>
  </si>
  <si>
    <t>Comment</t>
  </si>
  <si>
    <t>22uF</t>
  </si>
  <si>
    <t>0.1uF</t>
  </si>
  <si>
    <t>10uF</t>
  </si>
  <si>
    <t>20pF</t>
  </si>
  <si>
    <t>4.7uF</t>
  </si>
  <si>
    <t>1uF</t>
  </si>
  <si>
    <t>2.2uF</t>
  </si>
  <si>
    <t>1nF</t>
  </si>
  <si>
    <t>0.8pF</t>
  </si>
  <si>
    <t>2.2uH</t>
  </si>
  <si>
    <t>10uH</t>
  </si>
  <si>
    <t>15nH</t>
  </si>
  <si>
    <t>3.9nH</t>
  </si>
  <si>
    <t>6.8uH</t>
  </si>
  <si>
    <t>0.25R</t>
  </si>
  <si>
    <t>1K</t>
  </si>
  <si>
    <t>10K</t>
  </si>
  <si>
    <t>100K</t>
  </si>
  <si>
    <t>4.7K</t>
  </si>
  <si>
    <t>5.1K</t>
  </si>
  <si>
    <t>10.7K</t>
  </si>
  <si>
    <t>32.768kHz</t>
  </si>
  <si>
    <t>16MHz</t>
  </si>
  <si>
    <t>32MHz</t>
  </si>
  <si>
    <t>Custom</t>
  </si>
  <si>
    <t>---------</t>
  </si>
  <si>
    <t>----------</t>
  </si>
  <si>
    <t>LCSC/Part No</t>
  </si>
  <si>
    <t>C86816</t>
  </si>
  <si>
    <t>LCSC/MOQ/5 Boards</t>
  </si>
  <si>
    <t>CL05B104KB54PNC</t>
  </si>
  <si>
    <t>C307331</t>
  </si>
  <si>
    <t>C412302</t>
  </si>
  <si>
    <t>C107000</t>
  </si>
  <si>
    <t>C325464</t>
  </si>
  <si>
    <t>C385032</t>
  </si>
  <si>
    <t>C541372</t>
  </si>
  <si>
    <t>CAP CER 1000PF 25V X7R 0402</t>
  </si>
  <si>
    <t>CC0402KRX7R8BB102</t>
  </si>
  <si>
    <t>C88902</t>
  </si>
  <si>
    <t>C88374</t>
  </si>
  <si>
    <t>C498674</t>
  </si>
  <si>
    <t>C158011</t>
  </si>
  <si>
    <t>C557729</t>
  </si>
  <si>
    <t>C424659</t>
  </si>
  <si>
    <t>C281113</t>
  </si>
  <si>
    <t>C231879</t>
  </si>
  <si>
    <t>C285870</t>
  </si>
  <si>
    <t>C521237</t>
  </si>
  <si>
    <t>C17305</t>
  </si>
  <si>
    <t>SZYY0402YG</t>
  </si>
  <si>
    <t>C434449</t>
  </si>
  <si>
    <t>16-213/SDRC/S530-A3/TR8</t>
  </si>
  <si>
    <t>C71911</t>
  </si>
  <si>
    <t>C60490</t>
  </si>
  <si>
    <t>C226678</t>
  </si>
  <si>
    <t>0402WGF1003TCE</t>
  </si>
  <si>
    <t>C25741</t>
  </si>
  <si>
    <t>AC0402JR-074K7L</t>
  </si>
  <si>
    <t>C144709</t>
  </si>
  <si>
    <t>RMC06035.1K1%N</t>
  </si>
  <si>
    <t>C269716</t>
  </si>
  <si>
    <t>C318893</t>
  </si>
  <si>
    <t>C7270</t>
  </si>
  <si>
    <t>C40256</t>
  </si>
  <si>
    <t>C519278</t>
  </si>
  <si>
    <t>C784817</t>
  </si>
  <si>
    <t>C697937</t>
  </si>
  <si>
    <t>C620155</t>
  </si>
  <si>
    <t>C12668</t>
  </si>
  <si>
    <t>C2905357</t>
  </si>
  <si>
    <t>C105637</t>
  </si>
  <si>
    <t>RC0402JR-071KL</t>
  </si>
  <si>
    <t>RES 1K OHM 5% 1/16W 0402</t>
  </si>
  <si>
    <t>--------</t>
  </si>
  <si>
    <t>-------</t>
  </si>
  <si>
    <t>CONN HEADER VERT 8POS 2.54MM</t>
  </si>
  <si>
    <t>CONN HEADER VERT 4POS 2.54MM</t>
  </si>
  <si>
    <t>61300811121</t>
  </si>
  <si>
    <t>61300411121</t>
  </si>
  <si>
    <t>Wurth Electronics</t>
  </si>
  <si>
    <t>C2935914</t>
  </si>
  <si>
    <t>C2935910</t>
  </si>
  <si>
    <t>RES SMD 25m Ohms 125mW 0805</t>
  </si>
  <si>
    <t>Res0805</t>
  </si>
  <si>
    <t>0805W8F250MT5E</t>
  </si>
  <si>
    <t>UNI-ROYAL</t>
  </si>
  <si>
    <t>C620515</t>
  </si>
  <si>
    <t>C44</t>
  </si>
  <si>
    <t>C3, C4, C6, C10, C11, C12, C13, C14, C15, C18, C19, C20, C21, C22, C23, C24, C31, C34, C35, C36, C41, C42, C47, C49</t>
  </si>
  <si>
    <t>C9, C33</t>
  </si>
  <si>
    <t>C16, C32, C43, C45, C46, C48, C51</t>
  </si>
  <si>
    <t>C37</t>
  </si>
  <si>
    <t>CAP CER 100pF 50V C0G 0402</t>
  </si>
  <si>
    <t>Cap 0403</t>
  </si>
  <si>
    <t>GCM1555C1H101JA16D</t>
  </si>
  <si>
    <t>100pF</t>
  </si>
  <si>
    <t>R7, R8, R13, R14, R15, R16, R17, R26</t>
  </si>
  <si>
    <t>SW1, SW2</t>
  </si>
  <si>
    <t>C126492</t>
  </si>
  <si>
    <t>Quantity (1 Board)</t>
  </si>
  <si>
    <t>Remarks</t>
  </si>
  <si>
    <t>DO NOT MOUNT</t>
  </si>
  <si>
    <t>Item Type</t>
  </si>
  <si>
    <t>Capacitor</t>
  </si>
  <si>
    <t>Connector</t>
  </si>
  <si>
    <t>Inductor</t>
  </si>
  <si>
    <t>LED</t>
  </si>
  <si>
    <t>Resistor</t>
  </si>
  <si>
    <t>Switch</t>
  </si>
  <si>
    <t>ICs</t>
  </si>
  <si>
    <t>Crystal</t>
  </si>
  <si>
    <t>GRM188R61E106MA73D</t>
  </si>
  <si>
    <t>C91606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</si>
</sst>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2"/>
      <color indexed="13"/>
      <name val="Arial"/>
      <family val="2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4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4" fillId="3" borderId="0" xfId="0" quotePrefix="1" applyFont="1" applyFill="1" applyAlignment="1">
      <alignment horizontal="left"/>
    </xf>
    <xf numFmtId="0" fontId="14" fillId="3" borderId="6" xfId="0" quotePrefix="1" applyFont="1" applyFill="1" applyBorder="1" applyAlignment="1">
      <alignment horizontal="left"/>
    </xf>
    <xf numFmtId="0" fontId="14" fillId="3" borderId="5" xfId="0" quotePrefix="1" applyFont="1" applyFill="1" applyBorder="1" applyAlignment="1">
      <alignment horizontal="left"/>
    </xf>
    <xf numFmtId="0" fontId="16" fillId="0" borderId="13" xfId="0" applyFont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0" borderId="17" xfId="0" applyFont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16" fillId="3" borderId="10" xfId="0" applyFont="1" applyFill="1" applyBorder="1" applyAlignment="1">
      <alignment vertical="center"/>
    </xf>
    <xf numFmtId="0" fontId="11" fillId="4" borderId="21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1" xfId="0" quotePrefix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4" borderId="6" xfId="0" quotePrefix="1" applyFont="1" applyFill="1" applyBorder="1" applyAlignment="1">
      <alignment horizontal="center" vertical="center" wrapText="1"/>
    </xf>
    <xf numFmtId="0" fontId="11" fillId="2" borderId="6" xfId="0" quotePrefix="1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vertical="center"/>
    </xf>
    <xf numFmtId="0" fontId="12" fillId="5" borderId="23" xfId="0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1" fillId="2" borderId="20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4" borderId="21" xfId="0" quotePrefix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1" fillId="2" borderId="21" xfId="0" quotePrefix="1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6" xfId="0" quotePrefix="1" applyFont="1" applyFill="1" applyBorder="1" applyAlignment="1">
      <alignment horizontal="center" vertical="center"/>
    </xf>
    <xf numFmtId="0" fontId="20" fillId="2" borderId="21" xfId="0" quotePrefix="1" applyFont="1" applyFill="1" applyBorder="1" applyAlignment="1">
      <alignment horizontal="center" vertical="center"/>
    </xf>
    <xf numFmtId="0" fontId="20" fillId="2" borderId="6" xfId="0" quotePrefix="1" applyFont="1" applyFill="1" applyBorder="1" applyAlignment="1">
      <alignment horizontal="center" vertical="center" wrapText="1"/>
    </xf>
    <xf numFmtId="0" fontId="20" fillId="2" borderId="13" xfId="0" quotePrefix="1" applyFont="1" applyFill="1" applyBorder="1" applyAlignment="1">
      <alignment horizontal="center" vertical="center"/>
    </xf>
    <xf numFmtId="0" fontId="21" fillId="2" borderId="13" xfId="0" quotePrefix="1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24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19" fillId="3" borderId="11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2" fillId="5" borderId="24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</xdr:colOff>
      <xdr:row>2</xdr:row>
      <xdr:rowOff>10417</xdr:rowOff>
    </xdr:from>
    <xdr:ext cx="1714500" cy="1104008"/>
    <xdr:pic>
      <xdr:nvPicPr>
        <xdr:cNvPr id="3" name="Picture 2">
          <a:extLst>
            <a:ext uri="{FF2B5EF4-FFF2-40B4-BE49-F238E27FC236}">
              <a16:creationId xmlns:a16="http://schemas.microsoft.com/office/drawing/2014/main" id="{09969436-8A94-45CE-BB95-34EF24CD6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230225" y="620017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6"/>
  <sheetViews>
    <sheetView tabSelected="1" topLeftCell="A22" workbookViewId="0">
      <selection activeCell="M12" sqref="M12"/>
    </sheetView>
  </sheetViews>
  <sheetFormatPr defaultRowHeight="14.4" x14ac:dyDescent="0.3"/>
  <cols>
    <col min="2" max="2" width="3" bestFit="1" customWidth="1"/>
    <col min="3" max="3" width="9.88671875" bestFit="1" customWidth="1"/>
    <col min="4" max="4" width="31.109375" bestFit="1" customWidth="1"/>
    <col min="5" max="5" width="36.109375" customWidth="1"/>
    <col min="6" max="6" width="20.88671875" customWidth="1"/>
    <col min="7" max="7" width="25.33203125" bestFit="1" customWidth="1"/>
    <col min="8" max="8" width="24.6640625" bestFit="1" customWidth="1"/>
    <col min="9" max="9" width="18.88671875" customWidth="1"/>
    <col min="10" max="10" width="9.6640625" bestFit="1" customWidth="1"/>
    <col min="11" max="11" width="19.44140625" bestFit="1" customWidth="1"/>
    <col min="12" max="13" width="26.33203125" customWidth="1"/>
  </cols>
  <sheetData>
    <row r="1" spans="2:13" ht="15" thickBot="1" x14ac:dyDescent="0.35">
      <c r="I1" s="1"/>
    </row>
    <row r="2" spans="2:13" ht="31.8" thickBot="1" x14ac:dyDescent="0.35">
      <c r="B2" s="47"/>
      <c r="C2" s="80"/>
      <c r="D2" s="48" t="s">
        <v>0</v>
      </c>
      <c r="E2" s="48"/>
      <c r="F2" s="21" t="s">
        <v>7</v>
      </c>
      <c r="G2" s="9"/>
      <c r="H2" s="2"/>
      <c r="I2" s="2"/>
      <c r="J2" s="2"/>
      <c r="K2" s="94"/>
      <c r="L2" s="94"/>
      <c r="M2" s="95"/>
    </row>
    <row r="3" spans="2:13" ht="15.6" x14ac:dyDescent="0.3">
      <c r="B3" s="17"/>
      <c r="C3" s="81"/>
      <c r="D3" s="10" t="s">
        <v>1</v>
      </c>
      <c r="E3" s="10"/>
      <c r="F3" s="22" t="s">
        <v>8</v>
      </c>
      <c r="G3" s="10"/>
      <c r="H3" s="3"/>
      <c r="I3" s="3"/>
      <c r="J3" s="3"/>
      <c r="K3" s="3"/>
      <c r="L3" s="3"/>
      <c r="M3" s="93"/>
    </row>
    <row r="4" spans="2:13" ht="15.6" x14ac:dyDescent="0.3">
      <c r="B4" s="17"/>
      <c r="C4" s="81"/>
      <c r="D4" s="10" t="s">
        <v>2</v>
      </c>
      <c r="E4" s="10"/>
      <c r="F4" s="23" t="s">
        <v>8</v>
      </c>
      <c r="G4" s="11"/>
      <c r="H4" s="5"/>
      <c r="I4" s="5"/>
      <c r="J4" s="5"/>
      <c r="K4" s="5"/>
      <c r="L4" s="5"/>
      <c r="M4" s="92"/>
    </row>
    <row r="5" spans="2:13" ht="15.6" x14ac:dyDescent="0.3">
      <c r="B5" s="17"/>
      <c r="C5" s="81"/>
      <c r="D5" s="10" t="s">
        <v>3</v>
      </c>
      <c r="E5" s="10"/>
      <c r="F5" s="24" t="s">
        <v>9</v>
      </c>
      <c r="G5" s="12"/>
      <c r="H5" s="4"/>
      <c r="I5" s="4"/>
      <c r="J5" s="4"/>
      <c r="K5" s="4"/>
      <c r="L5" s="4"/>
      <c r="M5" s="92"/>
    </row>
    <row r="6" spans="2:13" x14ac:dyDescent="0.3">
      <c r="B6" s="18"/>
      <c r="C6" s="82"/>
      <c r="D6" s="13"/>
      <c r="E6" s="13"/>
      <c r="F6" s="14"/>
      <c r="G6" s="12"/>
      <c r="H6" s="4"/>
      <c r="I6" s="4"/>
      <c r="J6" s="4"/>
      <c r="K6" s="4"/>
      <c r="L6" s="4"/>
      <c r="M6" s="92"/>
    </row>
    <row r="7" spans="2:13" x14ac:dyDescent="0.3">
      <c r="B7" s="19"/>
      <c r="C7" s="83"/>
      <c r="D7" s="15"/>
      <c r="E7" s="15"/>
      <c r="F7" s="16"/>
      <c r="G7" s="15"/>
      <c r="H7" s="6"/>
      <c r="I7" s="6"/>
      <c r="J7" s="6"/>
      <c r="K7" s="6"/>
      <c r="L7" s="6"/>
      <c r="M7" s="92"/>
    </row>
    <row r="8" spans="2:13" ht="15" thickBot="1" x14ac:dyDescent="0.35">
      <c r="B8" s="30"/>
      <c r="C8" s="84"/>
      <c r="D8" s="31"/>
      <c r="E8" s="31"/>
      <c r="F8" s="32"/>
      <c r="G8" s="15"/>
      <c r="H8" s="6"/>
      <c r="I8" s="6"/>
      <c r="J8" s="6"/>
      <c r="K8" s="6"/>
      <c r="L8" s="6"/>
      <c r="M8" s="92"/>
    </row>
    <row r="9" spans="2:13" ht="15" thickBot="1" x14ac:dyDescent="0.35">
      <c r="B9" s="27" t="s">
        <v>4</v>
      </c>
      <c r="C9" s="27" t="s">
        <v>271</v>
      </c>
      <c r="D9" s="27" t="s">
        <v>10</v>
      </c>
      <c r="E9" s="28" t="s">
        <v>49</v>
      </c>
      <c r="F9" s="27" t="s">
        <v>89</v>
      </c>
      <c r="G9" s="28" t="s">
        <v>121</v>
      </c>
      <c r="H9" s="27" t="s">
        <v>141</v>
      </c>
      <c r="I9" s="28" t="s">
        <v>195</v>
      </c>
      <c r="J9" s="27" t="s">
        <v>167</v>
      </c>
      <c r="K9" s="46" t="s">
        <v>268</v>
      </c>
      <c r="L9" s="27" t="s">
        <v>197</v>
      </c>
      <c r="M9" s="27" t="s">
        <v>269</v>
      </c>
    </row>
    <row r="10" spans="2:13" s="53" customFormat="1" ht="42" thickBot="1" x14ac:dyDescent="0.35">
      <c r="B10" s="49">
        <f>ROW(B10) - ROW($B$9)</f>
        <v>1</v>
      </c>
      <c r="C10" s="100" t="s">
        <v>272</v>
      </c>
      <c r="D10" s="54" t="s">
        <v>11</v>
      </c>
      <c r="E10" s="41" t="s">
        <v>50</v>
      </c>
      <c r="F10" s="54" t="s">
        <v>90</v>
      </c>
      <c r="G10" s="55" t="s">
        <v>122</v>
      </c>
      <c r="H10" s="54" t="s">
        <v>142</v>
      </c>
      <c r="I10" s="41" t="s">
        <v>196</v>
      </c>
      <c r="J10" s="54" t="s">
        <v>168</v>
      </c>
      <c r="K10" s="50">
        <v>3</v>
      </c>
      <c r="L10" s="33">
        <v>20</v>
      </c>
      <c r="M10" s="33"/>
    </row>
    <row r="11" spans="2:13" ht="55.8" thickBot="1" x14ac:dyDescent="0.35">
      <c r="B11" s="49">
        <f t="shared" ref="B11:B54" si="0">ROW(B11) - ROW($B$9)</f>
        <v>2</v>
      </c>
      <c r="C11" s="101"/>
      <c r="D11" s="38" t="s">
        <v>257</v>
      </c>
      <c r="E11" s="57" t="s">
        <v>51</v>
      </c>
      <c r="F11" s="56" t="s">
        <v>91</v>
      </c>
      <c r="G11" s="38" t="s">
        <v>198</v>
      </c>
      <c r="H11" s="56" t="s">
        <v>142</v>
      </c>
      <c r="I11" s="42" t="s">
        <v>199</v>
      </c>
      <c r="J11" s="56" t="s">
        <v>169</v>
      </c>
      <c r="K11" s="51">
        <v>24</v>
      </c>
      <c r="L11" s="26">
        <v>150</v>
      </c>
      <c r="M11" s="26"/>
    </row>
    <row r="12" spans="2:13" ht="15" thickBot="1" x14ac:dyDescent="0.35">
      <c r="B12" s="49">
        <f t="shared" si="0"/>
        <v>3</v>
      </c>
      <c r="C12" s="101"/>
      <c r="D12" s="58" t="s">
        <v>12</v>
      </c>
      <c r="E12" s="59" t="s">
        <v>52</v>
      </c>
      <c r="F12" s="58" t="s">
        <v>92</v>
      </c>
      <c r="G12" s="40" t="s">
        <v>280</v>
      </c>
      <c r="H12" s="58" t="s">
        <v>143</v>
      </c>
      <c r="I12" s="43" t="s">
        <v>281</v>
      </c>
      <c r="J12" s="58" t="s">
        <v>170</v>
      </c>
      <c r="K12" s="52">
        <v>1</v>
      </c>
      <c r="L12" s="25">
        <v>10</v>
      </c>
      <c r="M12" s="25"/>
    </row>
    <row r="13" spans="2:13" ht="15" thickBot="1" x14ac:dyDescent="0.35">
      <c r="B13" s="49">
        <f t="shared" si="0"/>
        <v>4</v>
      </c>
      <c r="C13" s="101"/>
      <c r="D13" s="56" t="s">
        <v>13</v>
      </c>
      <c r="E13" s="57" t="s">
        <v>53</v>
      </c>
      <c r="F13" s="56" t="s">
        <v>91</v>
      </c>
      <c r="G13" s="57" t="s">
        <v>123</v>
      </c>
      <c r="H13" s="56" t="s">
        <v>144</v>
      </c>
      <c r="I13" s="42" t="s">
        <v>201</v>
      </c>
      <c r="J13" s="56" t="s">
        <v>171</v>
      </c>
      <c r="K13" s="51">
        <v>8</v>
      </c>
      <c r="L13" s="26">
        <v>100</v>
      </c>
      <c r="M13" s="26"/>
    </row>
    <row r="14" spans="2:13" ht="28.2" thickBot="1" x14ac:dyDescent="0.35">
      <c r="B14" s="49">
        <f t="shared" si="0"/>
        <v>5</v>
      </c>
      <c r="C14" s="101"/>
      <c r="D14" s="58" t="s">
        <v>258</v>
      </c>
      <c r="E14" s="43" t="s">
        <v>54</v>
      </c>
      <c r="F14" s="58" t="s">
        <v>91</v>
      </c>
      <c r="G14" s="59" t="s">
        <v>124</v>
      </c>
      <c r="H14" s="58" t="s">
        <v>145</v>
      </c>
      <c r="I14" s="43" t="s">
        <v>200</v>
      </c>
      <c r="J14" s="58" t="s">
        <v>172</v>
      </c>
      <c r="K14" s="52">
        <v>2</v>
      </c>
      <c r="L14" s="25">
        <v>50</v>
      </c>
      <c r="M14" s="25"/>
    </row>
    <row r="15" spans="2:13" ht="15" thickBot="1" x14ac:dyDescent="0.35">
      <c r="B15" s="49">
        <f t="shared" si="0"/>
        <v>6</v>
      </c>
      <c r="C15" s="101"/>
      <c r="D15" s="56" t="s">
        <v>259</v>
      </c>
      <c r="E15" s="57" t="s">
        <v>55</v>
      </c>
      <c r="F15" s="56" t="s">
        <v>91</v>
      </c>
      <c r="G15" s="57" t="s">
        <v>125</v>
      </c>
      <c r="H15" s="56" t="s">
        <v>144</v>
      </c>
      <c r="I15" s="42" t="s">
        <v>202</v>
      </c>
      <c r="J15" s="56" t="s">
        <v>173</v>
      </c>
      <c r="K15" s="51">
        <v>7</v>
      </c>
      <c r="L15" s="26">
        <v>50</v>
      </c>
      <c r="M15" s="26"/>
    </row>
    <row r="16" spans="2:13" ht="15" thickBot="1" x14ac:dyDescent="0.35">
      <c r="B16" s="49">
        <f t="shared" si="0"/>
        <v>7</v>
      </c>
      <c r="C16" s="101"/>
      <c r="D16" s="58" t="s">
        <v>14</v>
      </c>
      <c r="E16" s="59" t="s">
        <v>56</v>
      </c>
      <c r="F16" s="58" t="s">
        <v>91</v>
      </c>
      <c r="G16" s="59" t="s">
        <v>126</v>
      </c>
      <c r="H16" s="58" t="s">
        <v>142</v>
      </c>
      <c r="I16" s="43" t="s">
        <v>203</v>
      </c>
      <c r="J16" s="58" t="s">
        <v>174</v>
      </c>
      <c r="K16" s="52">
        <v>1</v>
      </c>
      <c r="L16" s="29">
        <v>10</v>
      </c>
      <c r="M16" s="29"/>
    </row>
    <row r="17" spans="2:13" ht="15" thickBot="1" x14ac:dyDescent="0.35">
      <c r="B17" s="49">
        <f t="shared" si="0"/>
        <v>8</v>
      </c>
      <c r="C17" s="101"/>
      <c r="D17" s="56" t="s">
        <v>260</v>
      </c>
      <c r="E17" s="57" t="s">
        <v>261</v>
      </c>
      <c r="F17" s="56" t="s">
        <v>262</v>
      </c>
      <c r="G17" s="57" t="s">
        <v>263</v>
      </c>
      <c r="H17" s="56" t="s">
        <v>142</v>
      </c>
      <c r="I17" s="66" t="s">
        <v>267</v>
      </c>
      <c r="J17" s="56" t="s">
        <v>264</v>
      </c>
      <c r="K17" s="51">
        <v>1</v>
      </c>
      <c r="L17" s="26">
        <v>50</v>
      </c>
      <c r="M17" s="26"/>
    </row>
    <row r="18" spans="2:13" ht="15" thickBot="1" x14ac:dyDescent="0.35">
      <c r="B18" s="49">
        <f t="shared" si="0"/>
        <v>9</v>
      </c>
      <c r="C18" s="101"/>
      <c r="D18" s="58" t="s">
        <v>256</v>
      </c>
      <c r="E18" s="59" t="s">
        <v>205</v>
      </c>
      <c r="F18" s="58" t="s">
        <v>91</v>
      </c>
      <c r="G18" s="59" t="s">
        <v>206</v>
      </c>
      <c r="H18" s="58" t="s">
        <v>144</v>
      </c>
      <c r="I18" s="43" t="s">
        <v>204</v>
      </c>
      <c r="J18" s="58" t="s">
        <v>175</v>
      </c>
      <c r="K18" s="65">
        <v>1</v>
      </c>
      <c r="L18" s="29">
        <v>100</v>
      </c>
      <c r="M18" s="29"/>
    </row>
    <row r="19" spans="2:13" ht="15" thickBot="1" x14ac:dyDescent="0.35">
      <c r="B19" s="49">
        <f t="shared" si="0"/>
        <v>10</v>
      </c>
      <c r="C19" s="102"/>
      <c r="D19" s="56" t="s">
        <v>15</v>
      </c>
      <c r="E19" s="57" t="s">
        <v>57</v>
      </c>
      <c r="F19" s="56" t="s">
        <v>91</v>
      </c>
      <c r="G19" s="57" t="s">
        <v>127</v>
      </c>
      <c r="H19" s="56" t="s">
        <v>142</v>
      </c>
      <c r="I19" s="42" t="s">
        <v>207</v>
      </c>
      <c r="J19" s="56" t="s">
        <v>176</v>
      </c>
      <c r="K19" s="51">
        <v>1</v>
      </c>
      <c r="L19" s="26">
        <v>20</v>
      </c>
      <c r="M19" s="26"/>
    </row>
    <row r="20" spans="2:13" ht="15" thickBot="1" x14ac:dyDescent="0.35">
      <c r="B20" s="49">
        <f t="shared" si="0"/>
        <v>11</v>
      </c>
      <c r="C20" s="100" t="s">
        <v>273</v>
      </c>
      <c r="D20" s="58" t="s">
        <v>16</v>
      </c>
      <c r="E20" s="59" t="s">
        <v>58</v>
      </c>
      <c r="F20" s="58" t="s">
        <v>192</v>
      </c>
      <c r="G20" s="59" t="s">
        <v>93</v>
      </c>
      <c r="H20" s="58" t="s">
        <v>146</v>
      </c>
      <c r="I20" s="43" t="s">
        <v>208</v>
      </c>
      <c r="J20" s="64" t="s">
        <v>193</v>
      </c>
      <c r="K20" s="65">
        <v>1</v>
      </c>
      <c r="L20" s="29">
        <v>10</v>
      </c>
      <c r="M20" s="29"/>
    </row>
    <row r="21" spans="2:13" ht="15" thickBot="1" x14ac:dyDescent="0.35">
      <c r="B21" s="49">
        <f t="shared" si="0"/>
        <v>12</v>
      </c>
      <c r="C21" s="101"/>
      <c r="D21" s="56" t="s">
        <v>19</v>
      </c>
      <c r="E21" s="57" t="s">
        <v>59</v>
      </c>
      <c r="F21" s="56" t="s">
        <v>192</v>
      </c>
      <c r="G21" s="57" t="s">
        <v>94</v>
      </c>
      <c r="H21" s="56" t="s">
        <v>147</v>
      </c>
      <c r="I21" s="42" t="s">
        <v>209</v>
      </c>
      <c r="J21" s="60" t="s">
        <v>193</v>
      </c>
      <c r="K21" s="51">
        <v>1</v>
      </c>
      <c r="L21" s="26">
        <v>6</v>
      </c>
      <c r="M21" s="26"/>
    </row>
    <row r="22" spans="2:13" ht="15" thickBot="1" x14ac:dyDescent="0.35">
      <c r="B22" s="49">
        <f t="shared" si="0"/>
        <v>13</v>
      </c>
      <c r="C22" s="101"/>
      <c r="D22" s="70" t="s">
        <v>18</v>
      </c>
      <c r="E22" s="71" t="s">
        <v>60</v>
      </c>
      <c r="F22" s="70" t="s">
        <v>192</v>
      </c>
      <c r="G22" s="71" t="s">
        <v>95</v>
      </c>
      <c r="H22" s="70" t="s">
        <v>148</v>
      </c>
      <c r="I22" s="89" t="s">
        <v>210</v>
      </c>
      <c r="J22" s="73" t="s">
        <v>193</v>
      </c>
      <c r="K22" s="70">
        <v>1</v>
      </c>
      <c r="L22" s="90">
        <v>20</v>
      </c>
      <c r="M22" s="91" t="s">
        <v>270</v>
      </c>
    </row>
    <row r="23" spans="2:13" ht="42" thickBot="1" x14ac:dyDescent="0.35">
      <c r="B23" s="49">
        <f t="shared" si="0"/>
        <v>14</v>
      </c>
      <c r="C23" s="101"/>
      <c r="D23" s="56" t="s">
        <v>17</v>
      </c>
      <c r="E23" s="42" t="s">
        <v>61</v>
      </c>
      <c r="F23" s="56" t="s">
        <v>192</v>
      </c>
      <c r="G23" s="57" t="s">
        <v>96</v>
      </c>
      <c r="H23" s="56" t="s">
        <v>149</v>
      </c>
      <c r="I23" s="42" t="s">
        <v>211</v>
      </c>
      <c r="J23" s="60" t="s">
        <v>193</v>
      </c>
      <c r="K23" s="51">
        <v>1</v>
      </c>
      <c r="L23" s="26">
        <v>6</v>
      </c>
      <c r="M23" s="26"/>
    </row>
    <row r="24" spans="2:13" ht="15" thickBot="1" x14ac:dyDescent="0.35">
      <c r="B24" s="49">
        <f t="shared" si="0"/>
        <v>15</v>
      </c>
      <c r="C24" s="101"/>
      <c r="D24" s="58" t="s">
        <v>20</v>
      </c>
      <c r="E24" s="59" t="s">
        <v>244</v>
      </c>
      <c r="F24" s="58" t="s">
        <v>97</v>
      </c>
      <c r="G24" s="59" t="s">
        <v>246</v>
      </c>
      <c r="H24" s="64" t="s">
        <v>248</v>
      </c>
      <c r="I24" s="43" t="s">
        <v>249</v>
      </c>
      <c r="J24" s="64" t="s">
        <v>193</v>
      </c>
      <c r="K24" s="65">
        <v>1</v>
      </c>
      <c r="L24" s="29">
        <v>10</v>
      </c>
      <c r="M24" s="29"/>
    </row>
    <row r="25" spans="2:13" ht="15" thickBot="1" x14ac:dyDescent="0.35">
      <c r="B25" s="49">
        <f t="shared" si="0"/>
        <v>16</v>
      </c>
      <c r="C25" s="101"/>
      <c r="D25" s="56" t="s">
        <v>21</v>
      </c>
      <c r="E25" s="57" t="s">
        <v>62</v>
      </c>
      <c r="F25" s="56" t="s">
        <v>192</v>
      </c>
      <c r="G25" s="57" t="s">
        <v>98</v>
      </c>
      <c r="H25" s="56" t="s">
        <v>146</v>
      </c>
      <c r="I25" s="42" t="s">
        <v>212</v>
      </c>
      <c r="J25" s="60" t="s">
        <v>193</v>
      </c>
      <c r="K25" s="51">
        <v>1</v>
      </c>
      <c r="L25" s="26">
        <v>6</v>
      </c>
      <c r="M25" s="26"/>
    </row>
    <row r="26" spans="2:13" ht="15" thickBot="1" x14ac:dyDescent="0.35">
      <c r="B26" s="49">
        <f t="shared" si="0"/>
        <v>17</v>
      </c>
      <c r="C26" s="102"/>
      <c r="D26" s="58" t="s">
        <v>22</v>
      </c>
      <c r="E26" s="59" t="s">
        <v>245</v>
      </c>
      <c r="F26" s="58" t="s">
        <v>99</v>
      </c>
      <c r="G26" s="59" t="s">
        <v>247</v>
      </c>
      <c r="H26" s="64" t="s">
        <v>248</v>
      </c>
      <c r="I26" s="43" t="s">
        <v>250</v>
      </c>
      <c r="J26" s="64" t="s">
        <v>193</v>
      </c>
      <c r="K26" s="65">
        <v>1</v>
      </c>
      <c r="L26" s="29">
        <v>20</v>
      </c>
      <c r="M26" s="29"/>
    </row>
    <row r="27" spans="2:13" ht="15" thickBot="1" x14ac:dyDescent="0.35">
      <c r="B27" s="49">
        <f t="shared" si="0"/>
        <v>18</v>
      </c>
      <c r="C27" s="100" t="s">
        <v>274</v>
      </c>
      <c r="D27" s="56" t="s">
        <v>23</v>
      </c>
      <c r="E27" s="57" t="s">
        <v>63</v>
      </c>
      <c r="F27" s="56" t="s">
        <v>192</v>
      </c>
      <c r="G27" s="57" t="s">
        <v>100</v>
      </c>
      <c r="H27" s="56" t="s">
        <v>145</v>
      </c>
      <c r="I27" s="44" t="s">
        <v>243</v>
      </c>
      <c r="J27" s="56" t="s">
        <v>177</v>
      </c>
      <c r="K27" s="51">
        <v>1</v>
      </c>
      <c r="L27" s="26">
        <v>7</v>
      </c>
      <c r="M27" s="26"/>
    </row>
    <row r="28" spans="2:13" ht="28.2" thickBot="1" x14ac:dyDescent="0.35">
      <c r="B28" s="49">
        <f t="shared" si="0"/>
        <v>19</v>
      </c>
      <c r="C28" s="101"/>
      <c r="D28" s="58" t="s">
        <v>24</v>
      </c>
      <c r="E28" s="43" t="s">
        <v>64</v>
      </c>
      <c r="F28" s="58" t="s">
        <v>101</v>
      </c>
      <c r="G28" s="59" t="s">
        <v>128</v>
      </c>
      <c r="H28" s="58" t="s">
        <v>150</v>
      </c>
      <c r="I28" s="43" t="s">
        <v>213</v>
      </c>
      <c r="J28" s="58" t="s">
        <v>178</v>
      </c>
      <c r="K28" s="65">
        <v>1</v>
      </c>
      <c r="L28" s="29">
        <v>10</v>
      </c>
      <c r="M28" s="29"/>
    </row>
    <row r="29" spans="2:13" ht="28.2" thickBot="1" x14ac:dyDescent="0.35">
      <c r="B29" s="49">
        <f t="shared" si="0"/>
        <v>20</v>
      </c>
      <c r="C29" s="101"/>
      <c r="D29" s="56" t="s">
        <v>25</v>
      </c>
      <c r="E29" s="42" t="s">
        <v>65</v>
      </c>
      <c r="F29" s="56" t="s">
        <v>192</v>
      </c>
      <c r="G29" s="57" t="s">
        <v>102</v>
      </c>
      <c r="H29" s="56" t="s">
        <v>151</v>
      </c>
      <c r="I29" s="42" t="s">
        <v>214</v>
      </c>
      <c r="J29" s="56" t="s">
        <v>179</v>
      </c>
      <c r="K29" s="51">
        <v>1</v>
      </c>
      <c r="L29" s="26">
        <v>10</v>
      </c>
      <c r="M29" s="26"/>
    </row>
    <row r="30" spans="2:13" ht="42" thickBot="1" x14ac:dyDescent="0.35">
      <c r="B30" s="49">
        <f t="shared" si="0"/>
        <v>21</v>
      </c>
      <c r="C30" s="101"/>
      <c r="D30" s="58" t="s">
        <v>26</v>
      </c>
      <c r="E30" s="43" t="s">
        <v>66</v>
      </c>
      <c r="F30" s="58" t="s">
        <v>103</v>
      </c>
      <c r="G30" s="59" t="s">
        <v>129</v>
      </c>
      <c r="H30" s="58" t="s">
        <v>142</v>
      </c>
      <c r="I30" s="43" t="s">
        <v>216</v>
      </c>
      <c r="J30" s="58" t="s">
        <v>180</v>
      </c>
      <c r="K30" s="65">
        <v>1</v>
      </c>
      <c r="L30" s="29">
        <v>10</v>
      </c>
      <c r="M30" s="29"/>
    </row>
    <row r="31" spans="2:13" ht="42" thickBot="1" x14ac:dyDescent="0.35">
      <c r="B31" s="49">
        <f t="shared" si="0"/>
        <v>22</v>
      </c>
      <c r="C31" s="101"/>
      <c r="D31" s="56" t="s">
        <v>27</v>
      </c>
      <c r="E31" s="42" t="s">
        <v>67</v>
      </c>
      <c r="F31" s="56" t="s">
        <v>103</v>
      </c>
      <c r="G31" s="57" t="s">
        <v>130</v>
      </c>
      <c r="H31" s="56" t="s">
        <v>142</v>
      </c>
      <c r="I31" s="42" t="s">
        <v>217</v>
      </c>
      <c r="J31" s="60" t="s">
        <v>194</v>
      </c>
      <c r="K31" s="51">
        <v>1</v>
      </c>
      <c r="L31" s="26">
        <v>50</v>
      </c>
      <c r="M31" s="26"/>
    </row>
    <row r="32" spans="2:13" ht="28.2" thickBot="1" x14ac:dyDescent="0.35">
      <c r="B32" s="49">
        <f t="shared" si="0"/>
        <v>23</v>
      </c>
      <c r="C32" s="102"/>
      <c r="D32" s="58" t="s">
        <v>28</v>
      </c>
      <c r="E32" s="43" t="s">
        <v>68</v>
      </c>
      <c r="F32" s="58" t="s">
        <v>192</v>
      </c>
      <c r="G32" s="59" t="s">
        <v>104</v>
      </c>
      <c r="H32" s="58" t="s">
        <v>152</v>
      </c>
      <c r="I32" s="43" t="s">
        <v>215</v>
      </c>
      <c r="J32" s="58" t="s">
        <v>181</v>
      </c>
      <c r="K32" s="65">
        <v>1</v>
      </c>
      <c r="L32" s="29">
        <v>10</v>
      </c>
      <c r="M32" s="29"/>
    </row>
    <row r="33" spans="2:13" ht="15" thickBot="1" x14ac:dyDescent="0.35">
      <c r="B33" s="49">
        <f t="shared" si="0"/>
        <v>24</v>
      </c>
      <c r="C33" s="100" t="s">
        <v>275</v>
      </c>
      <c r="D33" s="56" t="s">
        <v>29</v>
      </c>
      <c r="E33" s="57" t="s">
        <v>69</v>
      </c>
      <c r="F33" s="56" t="s">
        <v>105</v>
      </c>
      <c r="G33" s="38" t="s">
        <v>218</v>
      </c>
      <c r="H33" s="56" t="s">
        <v>153</v>
      </c>
      <c r="I33" s="42" t="s">
        <v>219</v>
      </c>
      <c r="J33" s="60" t="s">
        <v>194</v>
      </c>
      <c r="K33" s="51">
        <v>2</v>
      </c>
      <c r="L33" s="26">
        <v>50</v>
      </c>
      <c r="M33" s="26"/>
    </row>
    <row r="34" spans="2:13" ht="15" thickBot="1" x14ac:dyDescent="0.35">
      <c r="B34" s="49">
        <f t="shared" si="0"/>
        <v>25</v>
      </c>
      <c r="C34" s="102"/>
      <c r="D34" s="58" t="s">
        <v>30</v>
      </c>
      <c r="E34" s="59" t="s">
        <v>70</v>
      </c>
      <c r="F34" s="58" t="s">
        <v>105</v>
      </c>
      <c r="G34" s="39" t="s">
        <v>220</v>
      </c>
      <c r="H34" s="58" t="s">
        <v>153</v>
      </c>
      <c r="I34" s="43" t="s">
        <v>221</v>
      </c>
      <c r="J34" s="64" t="s">
        <v>194</v>
      </c>
      <c r="K34" s="65">
        <v>1</v>
      </c>
      <c r="L34" s="29">
        <v>10</v>
      </c>
      <c r="M34" s="29"/>
    </row>
    <row r="35" spans="2:13" ht="15" thickBot="1" x14ac:dyDescent="0.35">
      <c r="B35" s="49">
        <f t="shared" si="0"/>
        <v>26</v>
      </c>
      <c r="C35" s="100" t="s">
        <v>276</v>
      </c>
      <c r="D35" s="56" t="s">
        <v>31</v>
      </c>
      <c r="E35" s="61" t="s">
        <v>251</v>
      </c>
      <c r="F35" s="56" t="s">
        <v>252</v>
      </c>
      <c r="G35" s="57" t="s">
        <v>253</v>
      </c>
      <c r="H35" s="56" t="s">
        <v>254</v>
      </c>
      <c r="I35" s="42" t="s">
        <v>255</v>
      </c>
      <c r="J35" s="56" t="s">
        <v>182</v>
      </c>
      <c r="K35" s="51">
        <v>1</v>
      </c>
      <c r="L35" s="26">
        <v>50</v>
      </c>
      <c r="M35" s="26"/>
    </row>
    <row r="36" spans="2:13" ht="15" thickBot="1" x14ac:dyDescent="0.35">
      <c r="B36" s="49">
        <f t="shared" si="0"/>
        <v>27</v>
      </c>
      <c r="C36" s="101"/>
      <c r="D36" s="58" t="s">
        <v>32</v>
      </c>
      <c r="E36" s="62" t="s">
        <v>241</v>
      </c>
      <c r="F36" s="58" t="s">
        <v>107</v>
      </c>
      <c r="G36" s="62" t="s">
        <v>240</v>
      </c>
      <c r="H36" s="63" t="s">
        <v>144</v>
      </c>
      <c r="I36" s="43" t="s">
        <v>239</v>
      </c>
      <c r="J36" s="58" t="s">
        <v>183</v>
      </c>
      <c r="K36" s="65">
        <v>4</v>
      </c>
      <c r="L36" s="29">
        <v>100</v>
      </c>
      <c r="M36" s="29"/>
    </row>
    <row r="37" spans="2:13" ht="28.2" thickBot="1" x14ac:dyDescent="0.35">
      <c r="B37" s="49">
        <f t="shared" si="0"/>
        <v>28</v>
      </c>
      <c r="C37" s="101"/>
      <c r="D37" s="38" t="s">
        <v>33</v>
      </c>
      <c r="E37" s="57" t="s">
        <v>71</v>
      </c>
      <c r="F37" s="56" t="s">
        <v>107</v>
      </c>
      <c r="G37" s="57" t="s">
        <v>131</v>
      </c>
      <c r="H37" s="56" t="s">
        <v>144</v>
      </c>
      <c r="I37" s="42" t="s">
        <v>222</v>
      </c>
      <c r="J37" s="56" t="s">
        <v>184</v>
      </c>
      <c r="K37" s="51">
        <v>10</v>
      </c>
      <c r="L37" s="26">
        <v>100</v>
      </c>
      <c r="M37" s="26"/>
    </row>
    <row r="38" spans="2:13" ht="15" thickBot="1" x14ac:dyDescent="0.35">
      <c r="B38" s="49">
        <f t="shared" si="0"/>
        <v>29</v>
      </c>
      <c r="C38" s="101"/>
      <c r="D38" s="58" t="s">
        <v>265</v>
      </c>
      <c r="E38" s="59" t="s">
        <v>72</v>
      </c>
      <c r="F38" s="58" t="s">
        <v>107</v>
      </c>
      <c r="G38" s="39" t="s">
        <v>224</v>
      </c>
      <c r="H38" s="58" t="s">
        <v>154</v>
      </c>
      <c r="I38" s="43" t="s">
        <v>225</v>
      </c>
      <c r="J38" s="58" t="s">
        <v>185</v>
      </c>
      <c r="K38" s="65">
        <v>8</v>
      </c>
      <c r="L38" s="29">
        <v>100</v>
      </c>
      <c r="M38" s="29"/>
    </row>
    <row r="39" spans="2:13" ht="15" thickBot="1" x14ac:dyDescent="0.35">
      <c r="B39" s="49">
        <f t="shared" si="0"/>
        <v>30</v>
      </c>
      <c r="C39" s="101"/>
      <c r="D39" s="56" t="s">
        <v>34</v>
      </c>
      <c r="E39" s="57" t="s">
        <v>73</v>
      </c>
      <c r="F39" s="56" t="s">
        <v>107</v>
      </c>
      <c r="G39" s="38" t="s">
        <v>226</v>
      </c>
      <c r="H39" s="56" t="s">
        <v>154</v>
      </c>
      <c r="I39" s="42" t="s">
        <v>227</v>
      </c>
      <c r="J39" s="56" t="s">
        <v>186</v>
      </c>
      <c r="K39" s="51">
        <v>2</v>
      </c>
      <c r="L39" s="26">
        <v>100</v>
      </c>
      <c r="M39" s="26"/>
    </row>
    <row r="40" spans="2:13" ht="15" thickBot="1" x14ac:dyDescent="0.35">
      <c r="B40" s="49">
        <f t="shared" si="0"/>
        <v>31</v>
      </c>
      <c r="C40" s="101"/>
      <c r="D40" s="58" t="s">
        <v>35</v>
      </c>
      <c r="E40" s="59" t="s">
        <v>74</v>
      </c>
      <c r="F40" s="58" t="s">
        <v>106</v>
      </c>
      <c r="G40" s="39" t="s">
        <v>228</v>
      </c>
      <c r="H40" s="58" t="s">
        <v>155</v>
      </c>
      <c r="I40" s="43" t="s">
        <v>229</v>
      </c>
      <c r="J40" s="58" t="s">
        <v>187</v>
      </c>
      <c r="K40" s="65">
        <v>2</v>
      </c>
      <c r="L40" s="29">
        <v>100</v>
      </c>
      <c r="M40" s="29"/>
    </row>
    <row r="41" spans="2:13" ht="15" thickBot="1" x14ac:dyDescent="0.35">
      <c r="B41" s="49">
        <f t="shared" si="0"/>
        <v>32</v>
      </c>
      <c r="C41" s="102"/>
      <c r="D41" s="56" t="s">
        <v>36</v>
      </c>
      <c r="E41" s="57" t="s">
        <v>75</v>
      </c>
      <c r="F41" s="56" t="s">
        <v>107</v>
      </c>
      <c r="G41" s="57" t="s">
        <v>132</v>
      </c>
      <c r="H41" s="56" t="s">
        <v>144</v>
      </c>
      <c r="I41" s="42" t="s">
        <v>223</v>
      </c>
      <c r="J41" s="56" t="s">
        <v>188</v>
      </c>
      <c r="K41" s="51">
        <v>1</v>
      </c>
      <c r="L41" s="26">
        <v>50</v>
      </c>
      <c r="M41" s="26"/>
    </row>
    <row r="42" spans="2:13" ht="28.2" thickBot="1" x14ac:dyDescent="0.35">
      <c r="B42" s="49">
        <f t="shared" si="0"/>
        <v>33</v>
      </c>
      <c r="C42" s="87" t="s">
        <v>108</v>
      </c>
      <c r="D42" s="70" t="s">
        <v>37</v>
      </c>
      <c r="E42" s="71" t="s">
        <v>76</v>
      </c>
      <c r="F42" s="70" t="s">
        <v>108</v>
      </c>
      <c r="G42" s="72" t="s">
        <v>194</v>
      </c>
      <c r="H42" s="73" t="s">
        <v>194</v>
      </c>
      <c r="I42" s="74" t="s">
        <v>242</v>
      </c>
      <c r="J42" s="73" t="s">
        <v>194</v>
      </c>
      <c r="K42" s="70">
        <v>3</v>
      </c>
      <c r="L42" s="75" t="s">
        <v>193</v>
      </c>
      <c r="M42" s="76" t="s">
        <v>270</v>
      </c>
    </row>
    <row r="43" spans="2:13" ht="28.2" thickBot="1" x14ac:dyDescent="0.35">
      <c r="B43" s="49">
        <f t="shared" si="0"/>
        <v>34</v>
      </c>
      <c r="C43" s="88" t="s">
        <v>277</v>
      </c>
      <c r="D43" s="56" t="s">
        <v>266</v>
      </c>
      <c r="E43" s="42" t="s">
        <v>77</v>
      </c>
      <c r="F43" s="56" t="s">
        <v>192</v>
      </c>
      <c r="G43" s="57" t="s">
        <v>109</v>
      </c>
      <c r="H43" s="56" t="s">
        <v>156</v>
      </c>
      <c r="I43" s="42" t="s">
        <v>230</v>
      </c>
      <c r="J43" s="60" t="s">
        <v>194</v>
      </c>
      <c r="K43" s="51">
        <v>2</v>
      </c>
      <c r="L43" s="26">
        <v>10</v>
      </c>
      <c r="M43" s="26"/>
    </row>
    <row r="44" spans="2:13" ht="15" thickBot="1" x14ac:dyDescent="0.35">
      <c r="B44" s="49">
        <f t="shared" si="0"/>
        <v>35</v>
      </c>
      <c r="C44" s="100" t="s">
        <v>278</v>
      </c>
      <c r="D44" s="58" t="s">
        <v>38</v>
      </c>
      <c r="E44" s="59" t="s">
        <v>78</v>
      </c>
      <c r="F44" s="58" t="s">
        <v>110</v>
      </c>
      <c r="G44" s="59" t="s">
        <v>133</v>
      </c>
      <c r="H44" s="58" t="s">
        <v>157</v>
      </c>
      <c r="I44" s="45" t="s">
        <v>242</v>
      </c>
      <c r="J44" s="64" t="s">
        <v>194</v>
      </c>
      <c r="K44" s="65">
        <v>1</v>
      </c>
      <c r="L44" s="29">
        <v>6</v>
      </c>
      <c r="M44" s="29"/>
    </row>
    <row r="45" spans="2:13" ht="15" thickBot="1" x14ac:dyDescent="0.35">
      <c r="B45" s="49">
        <f t="shared" si="0"/>
        <v>36</v>
      </c>
      <c r="C45" s="101"/>
      <c r="D45" s="56" t="s">
        <v>39</v>
      </c>
      <c r="E45" s="57" t="s">
        <v>79</v>
      </c>
      <c r="F45" s="56" t="s">
        <v>111</v>
      </c>
      <c r="G45" s="57" t="s">
        <v>134</v>
      </c>
      <c r="H45" s="56" t="s">
        <v>158</v>
      </c>
      <c r="I45" s="42" t="s">
        <v>231</v>
      </c>
      <c r="J45" s="60" t="s">
        <v>194</v>
      </c>
      <c r="K45" s="51">
        <v>1</v>
      </c>
      <c r="L45" s="26">
        <v>6</v>
      </c>
      <c r="M45" s="26"/>
    </row>
    <row r="46" spans="2:13" ht="15" thickBot="1" x14ac:dyDescent="0.35">
      <c r="B46" s="49">
        <f t="shared" si="0"/>
        <v>37</v>
      </c>
      <c r="C46" s="101"/>
      <c r="D46" s="58" t="s">
        <v>40</v>
      </c>
      <c r="E46" s="59" t="s">
        <v>80</v>
      </c>
      <c r="F46" s="58" t="s">
        <v>112</v>
      </c>
      <c r="G46" s="59" t="s">
        <v>135</v>
      </c>
      <c r="H46" s="58" t="s">
        <v>159</v>
      </c>
      <c r="I46" s="45" t="s">
        <v>242</v>
      </c>
      <c r="J46" s="64" t="s">
        <v>194</v>
      </c>
      <c r="K46" s="65">
        <v>1</v>
      </c>
      <c r="L46" s="29">
        <v>6</v>
      </c>
      <c r="M46" s="29"/>
    </row>
    <row r="47" spans="2:13" ht="28.2" thickBot="1" x14ac:dyDescent="0.35">
      <c r="B47" s="49">
        <f t="shared" si="0"/>
        <v>38</v>
      </c>
      <c r="C47" s="101"/>
      <c r="D47" s="56" t="s">
        <v>41</v>
      </c>
      <c r="E47" s="42" t="s">
        <v>81</v>
      </c>
      <c r="F47" s="56" t="s">
        <v>113</v>
      </c>
      <c r="G47" s="57" t="s">
        <v>136</v>
      </c>
      <c r="H47" s="56" t="s">
        <v>160</v>
      </c>
      <c r="I47" s="42" t="s">
        <v>232</v>
      </c>
      <c r="J47" s="60" t="s">
        <v>194</v>
      </c>
      <c r="K47" s="51">
        <v>1</v>
      </c>
      <c r="L47" s="26">
        <v>6</v>
      </c>
      <c r="M47" s="26"/>
    </row>
    <row r="48" spans="2:13" ht="15" thickBot="1" x14ac:dyDescent="0.35">
      <c r="B48" s="49">
        <f t="shared" si="0"/>
        <v>39</v>
      </c>
      <c r="C48" s="101"/>
      <c r="D48" s="58" t="s">
        <v>42</v>
      </c>
      <c r="E48" s="43" t="s">
        <v>82</v>
      </c>
      <c r="F48" s="58" t="s">
        <v>114</v>
      </c>
      <c r="G48" s="59" t="s">
        <v>137</v>
      </c>
      <c r="H48" s="58" t="s">
        <v>161</v>
      </c>
      <c r="I48" s="45" t="s">
        <v>193</v>
      </c>
      <c r="J48" s="64" t="s">
        <v>194</v>
      </c>
      <c r="K48" s="65">
        <v>1</v>
      </c>
      <c r="L48" s="29">
        <v>6</v>
      </c>
      <c r="M48" s="29"/>
    </row>
    <row r="49" spans="2:13" ht="15" thickBot="1" x14ac:dyDescent="0.35">
      <c r="B49" s="49">
        <f t="shared" si="0"/>
        <v>40</v>
      </c>
      <c r="C49" s="101"/>
      <c r="D49" s="56" t="s">
        <v>43</v>
      </c>
      <c r="E49" s="42" t="s">
        <v>83</v>
      </c>
      <c r="F49" s="56" t="s">
        <v>115</v>
      </c>
      <c r="G49" s="57" t="s">
        <v>138</v>
      </c>
      <c r="H49" s="56" t="s">
        <v>162</v>
      </c>
      <c r="I49" s="42" t="s">
        <v>233</v>
      </c>
      <c r="J49" s="60" t="s">
        <v>194</v>
      </c>
      <c r="K49" s="51">
        <v>1</v>
      </c>
      <c r="L49" s="26">
        <v>6</v>
      </c>
      <c r="M49" s="26"/>
    </row>
    <row r="50" spans="2:13" ht="42" thickBot="1" x14ac:dyDescent="0.35">
      <c r="B50" s="49">
        <f t="shared" si="0"/>
        <v>41</v>
      </c>
      <c r="C50" s="101"/>
      <c r="D50" s="58" t="s">
        <v>44</v>
      </c>
      <c r="E50" s="43" t="s">
        <v>84</v>
      </c>
      <c r="F50" s="58" t="s">
        <v>116</v>
      </c>
      <c r="G50" s="59" t="s">
        <v>139</v>
      </c>
      <c r="H50" s="58" t="s">
        <v>163</v>
      </c>
      <c r="I50" s="43" t="s">
        <v>234</v>
      </c>
      <c r="J50" s="64" t="s">
        <v>194</v>
      </c>
      <c r="K50" s="65">
        <v>1</v>
      </c>
      <c r="L50" s="29">
        <v>6</v>
      </c>
      <c r="M50" s="29"/>
    </row>
    <row r="51" spans="2:13" ht="42" thickBot="1" x14ac:dyDescent="0.35">
      <c r="B51" s="49">
        <f t="shared" si="0"/>
        <v>42</v>
      </c>
      <c r="C51" s="102"/>
      <c r="D51" s="56" t="s">
        <v>45</v>
      </c>
      <c r="E51" s="42" t="s">
        <v>85</v>
      </c>
      <c r="F51" s="56" t="s">
        <v>117</v>
      </c>
      <c r="G51" s="57" t="s">
        <v>140</v>
      </c>
      <c r="H51" s="56" t="s">
        <v>164</v>
      </c>
      <c r="I51" s="42" t="s">
        <v>235</v>
      </c>
      <c r="J51" s="60" t="s">
        <v>194</v>
      </c>
      <c r="K51" s="51">
        <v>1</v>
      </c>
      <c r="L51" s="26">
        <v>10</v>
      </c>
      <c r="M51" s="26"/>
    </row>
    <row r="52" spans="2:13" ht="42" thickBot="1" x14ac:dyDescent="0.35">
      <c r="B52" s="49">
        <f t="shared" si="0"/>
        <v>43</v>
      </c>
      <c r="C52" s="103" t="s">
        <v>279</v>
      </c>
      <c r="D52" s="58" t="s">
        <v>46</v>
      </c>
      <c r="E52" s="43" t="s">
        <v>86</v>
      </c>
      <c r="F52" s="58" t="s">
        <v>192</v>
      </c>
      <c r="G52" s="59" t="s">
        <v>118</v>
      </c>
      <c r="H52" s="58" t="s">
        <v>165</v>
      </c>
      <c r="I52" s="43" t="s">
        <v>236</v>
      </c>
      <c r="J52" s="58" t="s">
        <v>189</v>
      </c>
      <c r="K52" s="65">
        <v>2</v>
      </c>
      <c r="L52" s="29">
        <v>11</v>
      </c>
      <c r="M52" s="29"/>
    </row>
    <row r="53" spans="2:13" ht="42" thickBot="1" x14ac:dyDescent="0.35">
      <c r="B53" s="49">
        <f t="shared" si="0"/>
        <v>44</v>
      </c>
      <c r="C53" s="104"/>
      <c r="D53" s="56" t="s">
        <v>47</v>
      </c>
      <c r="E53" s="42" t="s">
        <v>87</v>
      </c>
      <c r="F53" s="56" t="s">
        <v>192</v>
      </c>
      <c r="G53" s="57" t="s">
        <v>119</v>
      </c>
      <c r="H53" s="56" t="s">
        <v>165</v>
      </c>
      <c r="I53" s="42" t="s">
        <v>237</v>
      </c>
      <c r="J53" s="56" t="s">
        <v>190</v>
      </c>
      <c r="K53" s="51">
        <v>1</v>
      </c>
      <c r="L53" s="26">
        <v>10</v>
      </c>
      <c r="M53" s="26"/>
    </row>
    <row r="54" spans="2:13" ht="42" thickBot="1" x14ac:dyDescent="0.35">
      <c r="B54" s="77">
        <f t="shared" si="0"/>
        <v>45</v>
      </c>
      <c r="C54" s="105"/>
      <c r="D54" s="78" t="s">
        <v>48</v>
      </c>
      <c r="E54" s="67" t="s">
        <v>88</v>
      </c>
      <c r="F54" s="78" t="s">
        <v>192</v>
      </c>
      <c r="G54" s="68" t="s">
        <v>120</v>
      </c>
      <c r="H54" s="78" t="s">
        <v>166</v>
      </c>
      <c r="I54" s="67" t="s">
        <v>238</v>
      </c>
      <c r="J54" s="78" t="s">
        <v>191</v>
      </c>
      <c r="K54" s="79">
        <v>1</v>
      </c>
      <c r="L54" s="69">
        <v>10</v>
      </c>
      <c r="M54" s="69"/>
    </row>
    <row r="55" spans="2:13" x14ac:dyDescent="0.3">
      <c r="B55" s="34"/>
      <c r="C55" s="85"/>
      <c r="D55" s="35" t="s">
        <v>5</v>
      </c>
      <c r="E55" s="36"/>
      <c r="F55" s="37"/>
      <c r="G55" s="96"/>
      <c r="H55" s="96"/>
      <c r="I55" s="96"/>
      <c r="J55" s="96"/>
      <c r="K55" s="96"/>
      <c r="L55" s="96"/>
      <c r="M55" s="97"/>
    </row>
    <row r="56" spans="2:13" ht="15" thickBot="1" x14ac:dyDescent="0.35">
      <c r="B56" s="20"/>
      <c r="C56" s="86"/>
      <c r="D56" s="7" t="s">
        <v>6</v>
      </c>
      <c r="E56" s="8"/>
      <c r="F56" s="8"/>
      <c r="G56" s="98"/>
      <c r="H56" s="98"/>
      <c r="I56" s="98"/>
      <c r="J56" s="98"/>
      <c r="K56" s="98"/>
      <c r="L56" s="98"/>
      <c r="M56" s="99"/>
    </row>
  </sheetData>
  <mergeCells count="10">
    <mergeCell ref="M3:M8"/>
    <mergeCell ref="K2:M2"/>
    <mergeCell ref="G55:M56"/>
    <mergeCell ref="C10:C19"/>
    <mergeCell ref="C20:C26"/>
    <mergeCell ref="C27:C32"/>
    <mergeCell ref="C33:C34"/>
    <mergeCell ref="C35:C41"/>
    <mergeCell ref="C44:C51"/>
    <mergeCell ref="C52:C5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2022-08-20T06:37:48Z</dcterms:modified>
</cp:coreProperties>
</file>