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7F4F51F9-7803-4E96-A4CA-C01A43F4E15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1" r:id="rId1"/>
    <sheet name="Sheet2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4" i="2" l="1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54" i="1" l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<sst xmlns="http://schemas.openxmlformats.org/spreadsheetml/2006/main" count="674" uniqueCount="285">
  <si>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</si>
  <si>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</si>
  <si>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</si>
  <si>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</si>
  <si>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</si>
  <si>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</si>
  <si>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</si>
  <si>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</si>
  <si>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</si>
  <si>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</si>
  <si>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</si>
  <si>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</si>
  <si>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</si>
  <si>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</si>
  <si>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</si>
  <si>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C16, C30, C32, C43, C45, C46, C48, C51</t>
  </si>
  <si>
    <t>C17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</si>
  <si>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</si>
  <si>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</si>
  <si>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</si>
  <si>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</si>
  <si>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</si>
  <si>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</si>
  <si>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</si>
  <si>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</si>
  <si>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</si>
  <si>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</si>
  <si>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</si>
  <si>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</si>
  <si>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</si>
  <si>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</si>
  <si>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</si>
  <si>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</si>
  <si>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</si>
  <si>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</si>
  <si>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</si>
  <si>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</si>
  <si>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</si>
  <si>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</si>
  <si>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</si>
  <si>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</si>
  <si>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</si>
  <si>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</si>
  <si>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</si>
  <si>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</si>
  <si>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</si>
  <si>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</si>
  <si>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</si>
  <si>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</si>
  <si>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</si>
  <si>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</si>
  <si>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</si>
  <si>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</si>
  <si>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</si>
  <si>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</si>
  <si>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</si>
  <si>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</si>
  <si>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</si>
  <si>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</si>
  <si>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</si>
  <si>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</si>
  <si>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</si>
  <si>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</si>
  <si>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</si>
  <si>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</si>
  <si>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</si>
  <si>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</si>
  <si>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</si>
  <si>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</si>
  <si>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</si>
  <si>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</si>
  <si>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</si>
  <si>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</si>
  <si>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</si>
  <si>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</si>
  <si>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</si>
  <si>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</si>
  <si>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</si>
  <si>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</si>
  <si>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</si>
  <si>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</si>
  <si>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</si>
  <si>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</si>
  <si>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</si>
  <si>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</si>
  <si>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</si>
  <si>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</si>
  <si>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</si>
  <si>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</si>
  <si>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</si>
  <si>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</si>
  <si>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</si>
  <si>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</si>
  <si>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</si>
  <si>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</si>
  <si>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</si>
  <si>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</si>
  <si>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</si>
  <si>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</si>
  <si>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</si>
  <si>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</si>
  <si>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</si>
  <si>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</si>
  <si>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</si>
  <si>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</si>
  <si>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</si>
  <si>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</si>
  <si>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</si>
  <si>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</si>
  <si>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</si>
  <si>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</si>
  <si>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</si>
  <si>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</si>
  <si>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</si>
  <si>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</si>
  <si>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</si>
  <si>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</si>
  <si>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</si>
  <si>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</si>
  <si>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</si>
  <si>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</si>
  <si>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</si>
  <si>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</si>
  <si>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</si>
  <si>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</si>
  <si>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</si>
  <si>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</si>
  <si>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</si>
  <si>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</si>
  <si>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</si>
  <si>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</si>
  <si>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</si>
  <si>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</si>
  <si>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</si>
  <si>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</si>
  <si>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</si>
  <si>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</si>
  <si>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</si>
  <si>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RC0402FR-0710KL</t>
  </si>
  <si>
    <t>FRC0402J1R0 TS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</si>
  <si>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</si>
  <si>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</si>
  <si>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</si>
  <si>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</si>
  <si>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</si>
  <si>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</si>
  <si>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</si>
  <si>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</si>
  <si>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</si>
  <si>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</si>
  <si>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</si>
  <si>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</si>
  <si>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</si>
  <si>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</si>
  <si>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</si>
  <si>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</si>
  <si>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</si>
  <si>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</si>
  <si>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microgate</t>
  </si>
  <si>
    <t>Sunltech</t>
  </si>
  <si>
    <t>Chlisin Elec</t>
  </si>
  <si>
    <t>SunLED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</si>
  <si>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</si>
  <si>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</si>
  <si>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</si>
  <si>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</si>
  <si>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</si>
  <si>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</si>
  <si>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</si>
  <si>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</si>
  <si>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</si>
  <si>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</si>
  <si>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</si>
  <si>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</si>
  <si>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</si>
  <si>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</si>
  <si>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</si>
  <si>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</si>
  <si>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</si>
  <si>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</si>
  <si>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</si>
  <si>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</si>
  <si>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</si>
  <si>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</si>
  <si>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</si>
  <si>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</si>
  <si>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</si>
  <si>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</si>
  <si>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</si>
  <si>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</si>
  <si>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</si>
  <si>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</si>
  <si>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</si>
  <si>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</si>
  <si>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</si>
  <si>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</si>
  <si>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</si>
  <si>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</si>
  <si>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</si>
  <si>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</si>
  <si>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</si>
  <si>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</si>
  <si>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</si>
  <si>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</si>
  <si>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</si>
  <si>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>LCSC/Part No</t>
  </si>
  <si>
    <t>C86816</t>
  </si>
  <si>
    <t>LCSC/MOQ/5 Boards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</si>
  <si>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</si>
  <si>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</si>
  <si>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</si>
  <si>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</si>
  <si>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</si>
  <si>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</si>
  <si>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</si>
  <si>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</si>
  <si>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</si>
  <si>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</si>
  <si>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</si>
  <si>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</si>
  <si>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</si>
  <si>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</si>
  <si>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</si>
  <si>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</si>
  <si>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</si>
  <si>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</si>
  <si>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</si>
  <si>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</si>
  <si>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</si>
  <si>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</si>
  <si>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</si>
  <si>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</si>
  <si>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</si>
  <si>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</si>
  <si>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C2906901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</si>
  <si>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</si>
  <si>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</si>
  <si>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</si>
  <si>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</si>
  <si>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</si>
  <si>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</si>
  <si>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</si>
  <si>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</si>
  <si>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</si>
  <si>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</si>
  <si>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</si>
  <si>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</si>
  <si>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</si>
  <si>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</si>
  <si>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</si>
  <si>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</si>
  <si>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</si>
  <si>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</si>
  <si>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</si>
  <si>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</si>
  <si>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-------</t>
  </si>
  <si>
    <t>CONN HEADER VERT 8POS 2.54MM</t>
  </si>
  <si>
    <t>CONN HEADER VERT 4POS 2.54MM</t>
  </si>
  <si>
    <t>61300811121</t>
  </si>
  <si>
    <t>61300411121</t>
  </si>
  <si>
    <t>Wurth Electronics</t>
  </si>
  <si>
    <t>C2935914</t>
  </si>
  <si>
    <t>C2935910</t>
  </si>
  <si>
    <t>Quantity (Per Board)</t>
  </si>
  <si>
    <t>RES SMD 25m Ohms 125mW 0805</t>
  </si>
  <si>
    <t>Res0805</t>
  </si>
  <si>
    <t>0805W8F250MT5E</t>
  </si>
  <si>
    <t>UNI-ROYAL</t>
  </si>
  <si>
    <t>C620515</t>
  </si>
  <si>
    <t>C44</t>
  </si>
  <si>
    <t>C9, 33</t>
  </si>
  <si>
    <t>C3, C4, C6, C10, C11, C12, C13, C14, C15, C18, C19, C20, C21, C22, C23, C24, C31, C34, C35, C36, C41, C42, C47, C49</t>
  </si>
  <si>
    <t>C9, C33</t>
  </si>
  <si>
    <t>C16, C32, C43, C45, C46, C48, C51</t>
  </si>
  <si>
    <t>C37</t>
  </si>
  <si>
    <t>CAP CER 100pF 50V C0G 0402</t>
  </si>
  <si>
    <t>Cap 0403</t>
  </si>
  <si>
    <t>GCM1555C1H101JA16D</t>
  </si>
  <si>
    <t>100pF</t>
  </si>
  <si>
    <t>R7, R8, R13, R14, R15, R16, R17, R26</t>
  </si>
  <si>
    <t>SW1, SW2</t>
  </si>
  <si>
    <t>C126492</t>
  </si>
  <si>
    <t>Quantity (1 Board)</t>
  </si>
  <si>
    <t>Remarks</t>
  </si>
  <si>
    <t>DO NOT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</si>
</sst>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9"/>
      <name val="Calibri"/>
      <family val="2"/>
      <scheme val="minor"/>
    </font>
    <font>
      <b/>
      <sz val="12"/>
      <color indexed="13"/>
      <name val="Arial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 wrapText="1"/>
    </xf>
    <xf numFmtId="0" fontId="11" fillId="2" borderId="25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6" xfId="0" quotePrefix="1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1" fillId="4" borderId="28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 wrapText="1"/>
    </xf>
    <xf numFmtId="0" fontId="17" fillId="5" borderId="23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/>
    </xf>
    <xf numFmtId="0" fontId="13" fillId="3" borderId="12" xfId="0" applyFont="1" applyFill="1" applyBorder="1" applyAlignment="1">
      <alignment vertical="center"/>
    </xf>
    <xf numFmtId="0" fontId="19" fillId="4" borderId="6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vertical="center"/>
    </xf>
    <xf numFmtId="0" fontId="12" fillId="3" borderId="6" xfId="0" applyFont="1" applyFill="1" applyBorder="1"/>
    <xf numFmtId="0" fontId="8" fillId="3" borderId="6" xfId="0" applyFont="1" applyFill="1" applyBorder="1"/>
    <xf numFmtId="0" fontId="12" fillId="3" borderId="5" xfId="0" applyFont="1" applyFill="1" applyBorder="1"/>
    <xf numFmtId="0" fontId="8" fillId="3" borderId="5" xfId="0" applyFont="1" applyFill="1" applyBorder="1"/>
    <xf numFmtId="0" fontId="10" fillId="3" borderId="5" xfId="0" applyFont="1" applyFill="1" applyBorder="1"/>
    <xf numFmtId="0" fontId="12" fillId="5" borderId="30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1" xfId="0" applyFont="1" applyFill="1" applyBorder="1" applyAlignment="1" applyProtection="1">
      <alignment vertical="center"/>
      <protection locked="0"/>
    </xf>
    <xf numFmtId="0" fontId="11" fillId="3" borderId="11" xfId="0" applyFont="1" applyFill="1" applyBorder="1" applyAlignment="1" applyProtection="1">
      <alignment horizontal="left" vertical="center"/>
      <protection locked="0"/>
    </xf>
    <xf numFmtId="0" fontId="12" fillId="3" borderId="15" xfId="0" applyFont="1" applyFill="1" applyBorder="1" applyAlignment="1" applyProtection="1">
      <alignment horizontal="center" vertical="top"/>
      <protection locked="0"/>
    </xf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0" fillId="0" borderId="0" xfId="0" applyAlignment="1">
      <alignment wrapText="1"/>
    </xf>
    <xf numFmtId="0" fontId="11" fillId="2" borderId="2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4" borderId="2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/>
    </xf>
    <xf numFmtId="0" fontId="19" fillId="4" borderId="6" xfId="0" applyFont="1" applyFill="1" applyBorder="1" applyAlignment="1">
      <alignment horizontal="center" vertical="center"/>
    </xf>
    <xf numFmtId="0" fontId="19" fillId="2" borderId="5" xfId="0" applyFont="1" applyFill="1" applyBorder="1" applyAlignment="1">
      <alignment horizontal="center" vertical="center"/>
    </xf>
    <xf numFmtId="0" fontId="19" fillId="2" borderId="24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1" fillId="2" borderId="25" xfId="0" quotePrefix="1" applyFont="1" applyFill="1" applyBorder="1" applyAlignment="1">
      <alignment horizontal="center" vertical="center"/>
    </xf>
    <xf numFmtId="0" fontId="16" fillId="2" borderId="25" xfId="0" applyFont="1" applyFill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18" fillId="3" borderId="11" xfId="0" applyFont="1" applyFill="1" applyBorder="1" applyAlignment="1" applyProtection="1">
      <alignment horizontal="center" vertical="top"/>
      <protection locked="0"/>
    </xf>
    <xf numFmtId="0" fontId="18" fillId="3" borderId="8" xfId="0" applyFont="1" applyFill="1" applyBorder="1" applyAlignment="1" applyProtection="1">
      <alignment horizontal="center" vertical="top"/>
      <protection locked="0"/>
    </xf>
    <xf numFmtId="0" fontId="18" fillId="3" borderId="3" xfId="0" applyFont="1" applyFill="1" applyBorder="1" applyAlignment="1" applyProtection="1">
      <alignment horizontal="center" vertical="top"/>
      <protection locked="0"/>
    </xf>
    <xf numFmtId="0" fontId="18" fillId="3" borderId="17" xfId="0" applyFont="1" applyFill="1" applyBorder="1" applyAlignment="1" applyProtection="1">
      <alignment horizontal="center" vertical="top"/>
      <protection locked="0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20" fillId="3" borderId="12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16" fillId="3" borderId="11" xfId="0" applyFont="1" applyFill="1" applyBorder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6" fillId="3" borderId="17" xfId="0" applyFont="1" applyFill="1" applyBorder="1" applyAlignment="1">
      <alignment horizontal="center"/>
    </xf>
    <xf numFmtId="0" fontId="21" fillId="2" borderId="25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21" fillId="2" borderId="6" xfId="0" quotePrefix="1" applyFont="1" applyFill="1" applyBorder="1" applyAlignment="1">
      <alignment horizontal="center" vertical="center"/>
    </xf>
    <xf numFmtId="0" fontId="21" fillId="2" borderId="25" xfId="0" quotePrefix="1" applyFont="1" applyFill="1" applyBorder="1" applyAlignment="1">
      <alignment horizontal="center" vertical="center"/>
    </xf>
    <xf numFmtId="0" fontId="21" fillId="2" borderId="6" xfId="0" quotePrefix="1" applyFont="1" applyFill="1" applyBorder="1" applyAlignment="1">
      <alignment horizontal="center" vertical="center" wrapText="1"/>
    </xf>
    <xf numFmtId="0" fontId="21" fillId="2" borderId="14" xfId="0" quotePrefix="1" applyFont="1" applyFill="1" applyBorder="1" applyAlignment="1">
      <alignment horizontal="center" vertical="center"/>
    </xf>
    <xf numFmtId="0" fontId="22" fillId="2" borderId="14" xfId="0" quotePrefix="1" applyFont="1" applyFill="1" applyBorder="1" applyAlignment="1">
      <alignment horizontal="center" vertical="center"/>
    </xf>
    <xf numFmtId="0" fontId="10" fillId="3" borderId="0" xfId="0" applyFont="1" applyFill="1" applyBorder="1"/>
    <xf numFmtId="0" fontId="7" fillId="3" borderId="0" xfId="0" applyFont="1" applyFill="1" applyBorder="1"/>
    <xf numFmtId="0" fontId="15" fillId="3" borderId="0" xfId="0" applyFont="1" applyFill="1" applyBorder="1"/>
    <xf numFmtId="0" fontId="9" fillId="3" borderId="0" xfId="0" applyFont="1" applyFill="1" applyBorder="1"/>
    <xf numFmtId="0" fontId="12" fillId="3" borderId="0" xfId="0" applyFont="1" applyFill="1" applyBorder="1"/>
    <xf numFmtId="0" fontId="12" fillId="5" borderId="31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/>
    </xf>
    <xf numFmtId="0" fontId="16" fillId="2" borderId="2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33130</xdr:colOff>
      <xdr:row>2</xdr:row>
      <xdr:rowOff>53072</xdr:rowOff>
    </xdr:from>
    <xdr:ext cx="2383009" cy="108992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647543" y="657702"/>
          <a:ext cx="2383009" cy="1089928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9525</xdr:colOff>
      <xdr:row>2</xdr:row>
      <xdr:rowOff>10417</xdr:rowOff>
    </xdr:from>
    <xdr:ext cx="1714500" cy="1104008"/>
    <xdr:pic>
      <xdr:nvPicPr>
        <xdr:cNvPr id="3" name="Picture 2">
          <a:extLst>
            <a:ext uri="{FF2B5EF4-FFF2-40B4-BE49-F238E27FC236}">
              <a16:creationId xmlns:a16="http://schemas.microsoft.com/office/drawing/2014/main" id="{09969436-8A94-45CE-BB95-34EF24CD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230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56"/>
  <sheetViews>
    <sheetView zoomScaleNormal="100" workbookViewId="0">
      <selection activeCell="J9" sqref="J9"/>
    </sheetView>
  </sheetViews>
  <sheetFormatPr defaultRowHeight="15" x14ac:dyDescent="0.25"/>
  <cols>
    <col min="2" max="2" width="3.140625" style="23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18.85546875" bestFit="1" customWidth="1"/>
    <col min="8" max="8" width="18.85546875" customWidth="1"/>
    <col min="9" max="9" width="9.85546875" bestFit="1" customWidth="1"/>
    <col min="10" max="10" width="19.5703125" bestFit="1" customWidth="1"/>
    <col min="11" max="11" width="19.28515625" bestFit="1" customWidth="1"/>
  </cols>
  <sheetData>
    <row r="1" spans="1:11" ht="15.75" thickBot="1" x14ac:dyDescent="0.3">
      <c r="A1" s="1"/>
      <c r="B1" s="18"/>
      <c r="C1" s="2"/>
      <c r="D1" s="2"/>
      <c r="E1" s="2"/>
      <c r="F1" s="2"/>
      <c r="G1" s="2"/>
      <c r="H1" s="2"/>
      <c r="I1" s="113"/>
      <c r="J1" s="114"/>
    </row>
    <row r="2" spans="1:11" ht="32.25" thickBot="1" x14ac:dyDescent="0.3">
      <c r="A2" s="1"/>
      <c r="B2" s="66"/>
      <c r="C2" s="67" t="s">
        <v>0</v>
      </c>
      <c r="D2" s="67"/>
      <c r="E2" s="24" t="s">
        <v>7</v>
      </c>
      <c r="F2" s="10"/>
      <c r="G2" s="3"/>
      <c r="H2" s="3"/>
      <c r="I2" s="111"/>
      <c r="J2" s="111"/>
      <c r="K2" s="112"/>
    </row>
    <row r="3" spans="1:11" ht="15.75" x14ac:dyDescent="0.25">
      <c r="A3" s="1"/>
      <c r="B3" s="19"/>
      <c r="C3" s="11" t="s">
        <v>1</v>
      </c>
      <c r="D3" s="11"/>
      <c r="E3" s="25" t="s">
        <v>8</v>
      </c>
      <c r="F3" s="11"/>
      <c r="G3" s="4"/>
      <c r="H3" s="4"/>
      <c r="I3" s="4"/>
      <c r="J3" s="110"/>
      <c r="K3" s="109"/>
    </row>
    <row r="4" spans="1:11" ht="15.75" x14ac:dyDescent="0.25">
      <c r="A4" s="1"/>
      <c r="B4" s="19"/>
      <c r="C4" s="11" t="s">
        <v>2</v>
      </c>
      <c r="D4" s="11"/>
      <c r="E4" s="26" t="s">
        <v>8</v>
      </c>
      <c r="F4" s="12"/>
      <c r="G4" s="6"/>
      <c r="H4" s="6"/>
      <c r="I4" s="6"/>
      <c r="J4" s="110"/>
      <c r="K4" s="109"/>
    </row>
    <row r="5" spans="1:11" ht="15.75" x14ac:dyDescent="0.25">
      <c r="A5" s="1"/>
      <c r="B5" s="19"/>
      <c r="C5" s="11" t="s">
        <v>3</v>
      </c>
      <c r="D5" s="11"/>
      <c r="E5" s="27" t="s">
        <v>9</v>
      </c>
      <c r="F5" s="13"/>
      <c r="G5" s="5"/>
      <c r="H5" s="5"/>
      <c r="I5" s="5"/>
      <c r="J5" s="110"/>
      <c r="K5" s="109"/>
    </row>
    <row r="6" spans="1:11" x14ac:dyDescent="0.25">
      <c r="A6" s="1"/>
      <c r="B6" s="20"/>
      <c r="C6" s="14"/>
      <c r="D6" s="14"/>
      <c r="E6" s="15"/>
      <c r="F6" s="13"/>
      <c r="G6" s="5"/>
      <c r="H6" s="5"/>
      <c r="I6" s="5"/>
      <c r="J6" s="110"/>
      <c r="K6" s="109"/>
    </row>
    <row r="7" spans="1:11" x14ac:dyDescent="0.25">
      <c r="A7" s="1"/>
      <c r="B7" s="21"/>
      <c r="C7" s="16"/>
      <c r="D7" s="16"/>
      <c r="E7" s="17"/>
      <c r="F7" s="16"/>
      <c r="G7" s="7"/>
      <c r="H7" s="7"/>
      <c r="I7" s="7"/>
      <c r="J7" s="110"/>
      <c r="K7" s="109"/>
    </row>
    <row r="8" spans="1:11" ht="15.75" thickBot="1" x14ac:dyDescent="0.3">
      <c r="A8" s="1"/>
      <c r="B8" s="33"/>
      <c r="C8" s="34"/>
      <c r="D8" s="34"/>
      <c r="E8" s="35"/>
      <c r="F8" s="16"/>
      <c r="G8" s="7"/>
      <c r="H8" s="7"/>
      <c r="I8" s="7"/>
      <c r="J8" s="110"/>
      <c r="K8" s="109"/>
    </row>
    <row r="9" spans="1:11" ht="15.75" thickBot="1" x14ac:dyDescent="0.3">
      <c r="A9" s="1"/>
      <c r="B9" s="61" t="s">
        <v>4</v>
      </c>
      <c r="C9" s="30" t="s">
        <v>10</v>
      </c>
      <c r="D9" s="31" t="s">
        <v>54</v>
      </c>
      <c r="E9" s="30" t="s">
        <v>95</v>
      </c>
      <c r="F9" s="30" t="s">
        <v>127</v>
      </c>
      <c r="G9" s="30" t="s">
        <v>149</v>
      </c>
      <c r="H9" s="61" t="s">
        <v>205</v>
      </c>
      <c r="I9" s="30" t="s">
        <v>176</v>
      </c>
      <c r="J9" s="62" t="s">
        <v>263</v>
      </c>
      <c r="K9" s="30" t="s">
        <v>207</v>
      </c>
    </row>
    <row r="10" spans="1:11" ht="38.25" x14ac:dyDescent="0.25">
      <c r="A10" s="1"/>
      <c r="B10" s="63">
        <f>ROW(B10) - ROW($B$9)</f>
        <v>1</v>
      </c>
      <c r="C10" s="43" t="s">
        <v>11</v>
      </c>
      <c r="D10" s="52" t="s">
        <v>55</v>
      </c>
      <c r="E10" s="43" t="s">
        <v>96</v>
      </c>
      <c r="F10" s="43" t="s">
        <v>128</v>
      </c>
      <c r="G10" s="43" t="s">
        <v>150</v>
      </c>
      <c r="H10" s="52" t="s">
        <v>206</v>
      </c>
      <c r="I10" s="43" t="s">
        <v>177</v>
      </c>
      <c r="J10" s="46">
        <v>3</v>
      </c>
      <c r="K10" s="36">
        <v>20</v>
      </c>
    </row>
    <row r="11" spans="1:11" ht="38.25" x14ac:dyDescent="0.25">
      <c r="A11" s="1"/>
      <c r="B11" s="64">
        <f t="shared" ref="B11:B54" si="0">ROW(B11) - ROW($B$9)</f>
        <v>2</v>
      </c>
      <c r="C11" s="44" t="s">
        <v>12</v>
      </c>
      <c r="D11" s="53" t="s">
        <v>56</v>
      </c>
      <c r="E11" s="44" t="s">
        <v>97</v>
      </c>
      <c r="F11" s="53" t="s">
        <v>208</v>
      </c>
      <c r="G11" s="44" t="s">
        <v>150</v>
      </c>
      <c r="H11" s="53" t="s">
        <v>209</v>
      </c>
      <c r="I11" s="44" t="s">
        <v>178</v>
      </c>
      <c r="J11" s="47">
        <v>24</v>
      </c>
      <c r="K11" s="29">
        <v>150</v>
      </c>
    </row>
    <row r="12" spans="1:11" x14ac:dyDescent="0.25">
      <c r="A12" s="1"/>
      <c r="B12" s="64">
        <f>ROW(B12) - ROW($B$9)</f>
        <v>3</v>
      </c>
      <c r="C12" s="45" t="s">
        <v>13</v>
      </c>
      <c r="D12" s="54" t="s">
        <v>57</v>
      </c>
      <c r="E12" s="45" t="s">
        <v>98</v>
      </c>
      <c r="F12" s="45" t="s">
        <v>129</v>
      </c>
      <c r="G12" s="45" t="s">
        <v>151</v>
      </c>
      <c r="H12" s="54" t="s">
        <v>210</v>
      </c>
      <c r="I12" s="45" t="s">
        <v>179</v>
      </c>
      <c r="J12" s="48">
        <v>1</v>
      </c>
      <c r="K12" s="28">
        <v>20</v>
      </c>
    </row>
    <row r="13" spans="1:11" x14ac:dyDescent="0.25">
      <c r="A13" s="1"/>
      <c r="B13" s="64">
        <f t="shared" si="0"/>
        <v>4</v>
      </c>
      <c r="C13" s="44" t="s">
        <v>14</v>
      </c>
      <c r="D13" s="53" t="s">
        <v>58</v>
      </c>
      <c r="E13" s="44" t="s">
        <v>97</v>
      </c>
      <c r="F13" s="44" t="s">
        <v>130</v>
      </c>
      <c r="G13" s="44" t="s">
        <v>152</v>
      </c>
      <c r="H13" s="53" t="s">
        <v>212</v>
      </c>
      <c r="I13" s="44" t="s">
        <v>180</v>
      </c>
      <c r="J13" s="47">
        <v>8</v>
      </c>
      <c r="K13" s="29">
        <v>100</v>
      </c>
    </row>
    <row r="14" spans="1:11" ht="25.5" x14ac:dyDescent="0.25">
      <c r="A14" s="1"/>
      <c r="B14" s="64">
        <f>ROW(B14) - ROW($B$9)</f>
        <v>5</v>
      </c>
      <c r="C14" s="45" t="s">
        <v>270</v>
      </c>
      <c r="D14" s="54" t="s">
        <v>59</v>
      </c>
      <c r="E14" s="45" t="s">
        <v>97</v>
      </c>
      <c r="F14" s="45" t="s">
        <v>131</v>
      </c>
      <c r="G14" s="45" t="s">
        <v>153</v>
      </c>
      <c r="H14" s="54" t="s">
        <v>211</v>
      </c>
      <c r="I14" s="45" t="s">
        <v>181</v>
      </c>
      <c r="J14" s="48">
        <v>2</v>
      </c>
      <c r="K14" s="28">
        <v>50</v>
      </c>
    </row>
    <row r="15" spans="1:11" x14ac:dyDescent="0.25">
      <c r="A15" s="1"/>
      <c r="B15" s="64">
        <f t="shared" si="0"/>
        <v>6</v>
      </c>
      <c r="C15" s="44" t="s">
        <v>15</v>
      </c>
      <c r="D15" s="53" t="s">
        <v>60</v>
      </c>
      <c r="E15" s="44" t="s">
        <v>97</v>
      </c>
      <c r="F15" s="44" t="s">
        <v>132</v>
      </c>
      <c r="G15" s="44" t="s">
        <v>152</v>
      </c>
      <c r="H15" s="53" t="s">
        <v>213</v>
      </c>
      <c r="I15" s="44" t="s">
        <v>182</v>
      </c>
      <c r="J15" s="47">
        <v>8</v>
      </c>
      <c r="K15" s="29">
        <v>50</v>
      </c>
    </row>
    <row r="16" spans="1:11" x14ac:dyDescent="0.25">
      <c r="A16" s="1"/>
      <c r="B16" s="64">
        <f>ROW(B16) - ROW($B$9)</f>
        <v>7</v>
      </c>
      <c r="C16" s="45" t="s">
        <v>16</v>
      </c>
      <c r="D16" s="54" t="s">
        <v>61</v>
      </c>
      <c r="E16" s="45" t="s">
        <v>97</v>
      </c>
      <c r="F16" s="45" t="s">
        <v>133</v>
      </c>
      <c r="G16" s="45" t="s">
        <v>150</v>
      </c>
      <c r="H16" s="54" t="s">
        <v>214</v>
      </c>
      <c r="I16" s="45" t="s">
        <v>183</v>
      </c>
      <c r="J16" s="48">
        <v>1</v>
      </c>
      <c r="K16" s="32">
        <v>10</v>
      </c>
    </row>
    <row r="17" spans="1:11" x14ac:dyDescent="0.25">
      <c r="A17" s="1"/>
      <c r="B17" s="64">
        <f t="shared" si="0"/>
        <v>8</v>
      </c>
      <c r="C17" s="44" t="s">
        <v>269</v>
      </c>
      <c r="D17" s="53" t="s">
        <v>216</v>
      </c>
      <c r="E17" s="44" t="s">
        <v>97</v>
      </c>
      <c r="F17" s="44" t="s">
        <v>217</v>
      </c>
      <c r="G17" s="44" t="s">
        <v>152</v>
      </c>
      <c r="H17" s="53" t="s">
        <v>215</v>
      </c>
      <c r="I17" s="44" t="s">
        <v>184</v>
      </c>
      <c r="J17" s="47">
        <v>1</v>
      </c>
      <c r="K17" s="29">
        <v>100</v>
      </c>
    </row>
    <row r="18" spans="1:11" x14ac:dyDescent="0.25">
      <c r="A18" s="1"/>
      <c r="B18" s="64">
        <f>ROW(B18) - ROW($B$9)</f>
        <v>9</v>
      </c>
      <c r="C18" s="45" t="s">
        <v>17</v>
      </c>
      <c r="D18" s="54" t="s">
        <v>62</v>
      </c>
      <c r="E18" s="45" t="s">
        <v>97</v>
      </c>
      <c r="F18" s="45" t="s">
        <v>134</v>
      </c>
      <c r="G18" s="45" t="s">
        <v>150</v>
      </c>
      <c r="H18" s="54" t="s">
        <v>218</v>
      </c>
      <c r="I18" s="45" t="s">
        <v>185</v>
      </c>
      <c r="J18" s="48">
        <v>1</v>
      </c>
      <c r="K18" s="28">
        <v>20</v>
      </c>
    </row>
    <row r="19" spans="1:11" x14ac:dyDescent="0.25">
      <c r="A19" s="1"/>
      <c r="B19" s="64">
        <f t="shared" si="0"/>
        <v>10</v>
      </c>
      <c r="C19" s="44" t="s">
        <v>18</v>
      </c>
      <c r="D19" s="53" t="s">
        <v>63</v>
      </c>
      <c r="E19" s="44" t="s">
        <v>202</v>
      </c>
      <c r="F19" s="44" t="s">
        <v>99</v>
      </c>
      <c r="G19" s="44" t="s">
        <v>154</v>
      </c>
      <c r="H19" s="53" t="s">
        <v>219</v>
      </c>
      <c r="I19" s="50" t="s">
        <v>203</v>
      </c>
      <c r="J19" s="47">
        <v>1</v>
      </c>
      <c r="K19" s="29">
        <v>10</v>
      </c>
    </row>
    <row r="20" spans="1:11" x14ac:dyDescent="0.25">
      <c r="A20" s="1"/>
      <c r="B20" s="64">
        <f>ROW(B20) - ROW($B$9)</f>
        <v>11</v>
      </c>
      <c r="C20" s="45" t="s">
        <v>21</v>
      </c>
      <c r="D20" s="54" t="s">
        <v>64</v>
      </c>
      <c r="E20" s="45" t="s">
        <v>202</v>
      </c>
      <c r="F20" s="45" t="s">
        <v>100</v>
      </c>
      <c r="G20" s="45" t="s">
        <v>155</v>
      </c>
      <c r="H20" s="54" t="s">
        <v>220</v>
      </c>
      <c r="I20" s="51" t="s">
        <v>203</v>
      </c>
      <c r="J20" s="48">
        <v>1</v>
      </c>
      <c r="K20" s="28">
        <v>6</v>
      </c>
    </row>
    <row r="21" spans="1:11" x14ac:dyDescent="0.25">
      <c r="A21" s="1"/>
      <c r="B21" s="64">
        <f t="shared" si="0"/>
        <v>12</v>
      </c>
      <c r="C21" s="44" t="s">
        <v>20</v>
      </c>
      <c r="D21" s="53" t="s">
        <v>65</v>
      </c>
      <c r="E21" s="44" t="s">
        <v>202</v>
      </c>
      <c r="F21" s="44" t="s">
        <v>101</v>
      </c>
      <c r="G21" s="44" t="s">
        <v>156</v>
      </c>
      <c r="H21" s="53" t="s">
        <v>221</v>
      </c>
      <c r="I21" s="50" t="s">
        <v>203</v>
      </c>
      <c r="J21" s="47">
        <v>1</v>
      </c>
      <c r="K21" s="29">
        <v>20</v>
      </c>
    </row>
    <row r="22" spans="1:11" ht="38.25" x14ac:dyDescent="0.25">
      <c r="A22" s="1"/>
      <c r="B22" s="64">
        <f>ROW(B22) - ROW($B$9)</f>
        <v>13</v>
      </c>
      <c r="C22" s="45" t="s">
        <v>19</v>
      </c>
      <c r="D22" s="54" t="s">
        <v>66</v>
      </c>
      <c r="E22" s="45" t="s">
        <v>202</v>
      </c>
      <c r="F22" s="45" t="s">
        <v>102</v>
      </c>
      <c r="G22" s="45" t="s">
        <v>157</v>
      </c>
      <c r="H22" s="54" t="s">
        <v>222</v>
      </c>
      <c r="I22" s="51" t="s">
        <v>203</v>
      </c>
      <c r="J22" s="48">
        <v>1</v>
      </c>
      <c r="K22" s="28">
        <v>6</v>
      </c>
    </row>
    <row r="23" spans="1:11" x14ac:dyDescent="0.25">
      <c r="A23" s="1"/>
      <c r="B23" s="64">
        <f t="shared" si="0"/>
        <v>14</v>
      </c>
      <c r="C23" s="44" t="s">
        <v>22</v>
      </c>
      <c r="D23" s="44" t="s">
        <v>256</v>
      </c>
      <c r="E23" s="44" t="s">
        <v>103</v>
      </c>
      <c r="F23" s="50" t="s">
        <v>258</v>
      </c>
      <c r="G23" s="44" t="s">
        <v>260</v>
      </c>
      <c r="H23" s="53" t="s">
        <v>261</v>
      </c>
      <c r="I23" s="50" t="s">
        <v>203</v>
      </c>
      <c r="J23" s="47">
        <v>1</v>
      </c>
      <c r="K23" s="29">
        <v>10</v>
      </c>
    </row>
    <row r="24" spans="1:11" x14ac:dyDescent="0.25">
      <c r="A24" s="1"/>
      <c r="B24" s="64">
        <f>ROW(B24) - ROW($B$9)</f>
        <v>15</v>
      </c>
      <c r="C24" s="45" t="s">
        <v>23</v>
      </c>
      <c r="D24" s="54" t="s">
        <v>67</v>
      </c>
      <c r="E24" s="45" t="s">
        <v>202</v>
      </c>
      <c r="F24" s="45" t="s">
        <v>104</v>
      </c>
      <c r="G24" s="45" t="s">
        <v>154</v>
      </c>
      <c r="H24" s="54" t="s">
        <v>223</v>
      </c>
      <c r="I24" s="51" t="s">
        <v>203</v>
      </c>
      <c r="J24" s="48">
        <v>1</v>
      </c>
      <c r="K24" s="28">
        <v>6</v>
      </c>
    </row>
    <row r="25" spans="1:11" x14ac:dyDescent="0.25">
      <c r="A25" s="1"/>
      <c r="B25" s="64">
        <f t="shared" si="0"/>
        <v>16</v>
      </c>
      <c r="C25" s="44" t="s">
        <v>24</v>
      </c>
      <c r="D25" s="55" t="s">
        <v>257</v>
      </c>
      <c r="E25" s="44" t="s">
        <v>105</v>
      </c>
      <c r="F25" s="50" t="s">
        <v>259</v>
      </c>
      <c r="G25" s="44" t="s">
        <v>260</v>
      </c>
      <c r="H25" s="53" t="s">
        <v>262</v>
      </c>
      <c r="I25" s="50" t="s">
        <v>203</v>
      </c>
      <c r="J25" s="47">
        <v>1</v>
      </c>
      <c r="K25" s="29">
        <v>20</v>
      </c>
    </row>
    <row r="26" spans="1:11" x14ac:dyDescent="0.25">
      <c r="A26" s="1"/>
      <c r="B26" s="64">
        <f>ROW(B26) - ROW($B$9)</f>
        <v>17</v>
      </c>
      <c r="C26" s="45" t="s">
        <v>25</v>
      </c>
      <c r="D26" s="54" t="s">
        <v>68</v>
      </c>
      <c r="E26" s="45" t="s">
        <v>202</v>
      </c>
      <c r="F26" s="45" t="s">
        <v>106</v>
      </c>
      <c r="G26" s="45" t="s">
        <v>153</v>
      </c>
      <c r="H26" s="57" t="s">
        <v>255</v>
      </c>
      <c r="I26" s="45" t="s">
        <v>186</v>
      </c>
      <c r="J26" s="48">
        <v>1</v>
      </c>
      <c r="K26" s="28">
        <v>7</v>
      </c>
    </row>
    <row r="27" spans="1:11" ht="25.5" x14ac:dyDescent="0.25">
      <c r="A27" s="1"/>
      <c r="B27" s="64">
        <f>ROW(B27) - ROW($B$9)</f>
        <v>18</v>
      </c>
      <c r="C27" s="45" t="s">
        <v>26</v>
      </c>
      <c r="D27" s="54" t="s">
        <v>69</v>
      </c>
      <c r="E27" s="45" t="s">
        <v>107</v>
      </c>
      <c r="F27" s="45" t="s">
        <v>135</v>
      </c>
      <c r="G27" s="45" t="s">
        <v>158</v>
      </c>
      <c r="H27" s="54" t="s">
        <v>224</v>
      </c>
      <c r="I27" s="45" t="s">
        <v>187</v>
      </c>
      <c r="J27" s="48">
        <v>1</v>
      </c>
      <c r="K27" s="32">
        <v>10</v>
      </c>
    </row>
    <row r="28" spans="1:11" ht="25.5" x14ac:dyDescent="0.25">
      <c r="A28" s="1"/>
      <c r="B28" s="64">
        <f t="shared" si="0"/>
        <v>19</v>
      </c>
      <c r="C28" s="44" t="s">
        <v>27</v>
      </c>
      <c r="D28" s="53" t="s">
        <v>70</v>
      </c>
      <c r="E28" s="44" t="s">
        <v>202</v>
      </c>
      <c r="F28" s="44" t="s">
        <v>108</v>
      </c>
      <c r="G28" s="44" t="s">
        <v>159</v>
      </c>
      <c r="H28" s="53" t="s">
        <v>225</v>
      </c>
      <c r="I28" s="44" t="s">
        <v>188</v>
      </c>
      <c r="J28" s="47">
        <v>1</v>
      </c>
      <c r="K28" s="29">
        <v>10</v>
      </c>
    </row>
    <row r="29" spans="1:11" ht="38.25" x14ac:dyDescent="0.25">
      <c r="A29" s="1"/>
      <c r="B29" s="64">
        <f>ROW(B29) - ROW($B$9)</f>
        <v>20</v>
      </c>
      <c r="C29" s="45" t="s">
        <v>28</v>
      </c>
      <c r="D29" s="54" t="s">
        <v>71</v>
      </c>
      <c r="E29" s="45" t="s">
        <v>109</v>
      </c>
      <c r="F29" s="45" t="s">
        <v>136</v>
      </c>
      <c r="G29" s="45" t="s">
        <v>150</v>
      </c>
      <c r="H29" s="54" t="s">
        <v>227</v>
      </c>
      <c r="I29" s="45" t="s">
        <v>189</v>
      </c>
      <c r="J29" s="48">
        <v>1</v>
      </c>
      <c r="K29" s="28">
        <v>10</v>
      </c>
    </row>
    <row r="30" spans="1:11" ht="38.25" x14ac:dyDescent="0.25">
      <c r="A30" s="1"/>
      <c r="B30" s="64">
        <f t="shared" si="0"/>
        <v>21</v>
      </c>
      <c r="C30" s="44" t="s">
        <v>29</v>
      </c>
      <c r="D30" s="53" t="s">
        <v>72</v>
      </c>
      <c r="E30" s="44" t="s">
        <v>109</v>
      </c>
      <c r="F30" s="44" t="s">
        <v>137</v>
      </c>
      <c r="G30" s="44" t="s">
        <v>150</v>
      </c>
      <c r="H30" s="53" t="s">
        <v>228</v>
      </c>
      <c r="I30" s="50" t="s">
        <v>204</v>
      </c>
      <c r="J30" s="47">
        <v>1</v>
      </c>
      <c r="K30" s="29">
        <v>50</v>
      </c>
    </row>
    <row r="31" spans="1:11" ht="25.5" x14ac:dyDescent="0.25">
      <c r="A31" s="1"/>
      <c r="B31" s="64">
        <f>ROW(B31) - ROW($B$9)</f>
        <v>22</v>
      </c>
      <c r="C31" s="45" t="s">
        <v>30</v>
      </c>
      <c r="D31" s="54" t="s">
        <v>73</v>
      </c>
      <c r="E31" s="45" t="s">
        <v>202</v>
      </c>
      <c r="F31" s="45" t="s">
        <v>110</v>
      </c>
      <c r="G31" s="45" t="s">
        <v>160</v>
      </c>
      <c r="H31" s="54" t="s">
        <v>226</v>
      </c>
      <c r="I31" s="45" t="s">
        <v>190</v>
      </c>
      <c r="J31" s="48">
        <v>1</v>
      </c>
      <c r="K31" s="32">
        <v>10</v>
      </c>
    </row>
    <row r="32" spans="1:11" x14ac:dyDescent="0.25">
      <c r="A32" s="1"/>
      <c r="B32" s="64">
        <f t="shared" si="0"/>
        <v>23</v>
      </c>
      <c r="C32" s="44" t="s">
        <v>31</v>
      </c>
      <c r="D32" s="53" t="s">
        <v>74</v>
      </c>
      <c r="E32" s="44" t="s">
        <v>111</v>
      </c>
      <c r="F32" s="53" t="s">
        <v>229</v>
      </c>
      <c r="G32" s="44" t="s">
        <v>161</v>
      </c>
      <c r="H32" s="53" t="s">
        <v>230</v>
      </c>
      <c r="I32" s="50" t="s">
        <v>204</v>
      </c>
      <c r="J32" s="47">
        <v>2</v>
      </c>
      <c r="K32" s="29">
        <v>50</v>
      </c>
    </row>
    <row r="33" spans="1:11" x14ac:dyDescent="0.25">
      <c r="A33" s="1"/>
      <c r="B33" s="64">
        <f>ROW(B33) - ROW($B$9)</f>
        <v>24</v>
      </c>
      <c r="C33" s="45" t="s">
        <v>32</v>
      </c>
      <c r="D33" s="54" t="s">
        <v>75</v>
      </c>
      <c r="E33" s="45" t="s">
        <v>111</v>
      </c>
      <c r="F33" s="54" t="s">
        <v>231</v>
      </c>
      <c r="G33" s="45" t="s">
        <v>161</v>
      </c>
      <c r="H33" s="54" t="s">
        <v>232</v>
      </c>
      <c r="I33" s="51" t="s">
        <v>204</v>
      </c>
      <c r="J33" s="48">
        <v>1</v>
      </c>
      <c r="K33" s="28">
        <v>10</v>
      </c>
    </row>
    <row r="34" spans="1:11" x14ac:dyDescent="0.25">
      <c r="A34" s="1"/>
      <c r="B34" s="64">
        <f t="shared" si="0"/>
        <v>25</v>
      </c>
      <c r="C34" s="44" t="s">
        <v>33</v>
      </c>
      <c r="D34" s="68" t="s">
        <v>264</v>
      </c>
      <c r="E34" s="69" t="s">
        <v>265</v>
      </c>
      <c r="F34" s="69" t="s">
        <v>266</v>
      </c>
      <c r="G34" s="69" t="s">
        <v>267</v>
      </c>
      <c r="H34" s="53" t="s">
        <v>268</v>
      </c>
      <c r="I34" s="44" t="s">
        <v>191</v>
      </c>
      <c r="J34" s="47">
        <v>1</v>
      </c>
      <c r="K34" s="29">
        <v>50</v>
      </c>
    </row>
    <row r="35" spans="1:11" x14ac:dyDescent="0.25">
      <c r="A35" s="1"/>
      <c r="B35" s="64">
        <f>ROW(B35) - ROW($B$9)</f>
        <v>26</v>
      </c>
      <c r="C35" s="45" t="s">
        <v>34</v>
      </c>
      <c r="D35" s="54" t="s">
        <v>253</v>
      </c>
      <c r="E35" s="45" t="s">
        <v>113</v>
      </c>
      <c r="F35" s="45" t="s">
        <v>252</v>
      </c>
      <c r="G35" s="45" t="s">
        <v>152</v>
      </c>
      <c r="H35" s="54" t="s">
        <v>251</v>
      </c>
      <c r="I35" s="45" t="s">
        <v>192</v>
      </c>
      <c r="J35" s="48">
        <v>4</v>
      </c>
      <c r="K35" s="28">
        <v>100</v>
      </c>
    </row>
    <row r="36" spans="1:11" ht="25.5" x14ac:dyDescent="0.25">
      <c r="A36" s="1"/>
      <c r="B36" s="64">
        <f t="shared" si="0"/>
        <v>27</v>
      </c>
      <c r="C36" s="44" t="s">
        <v>35</v>
      </c>
      <c r="D36" s="53" t="s">
        <v>76</v>
      </c>
      <c r="E36" s="44" t="s">
        <v>113</v>
      </c>
      <c r="F36" s="44" t="s">
        <v>138</v>
      </c>
      <c r="G36" s="44" t="s">
        <v>152</v>
      </c>
      <c r="H36" s="53" t="s">
        <v>233</v>
      </c>
      <c r="I36" s="44" t="s">
        <v>193</v>
      </c>
      <c r="J36" s="47">
        <v>10</v>
      </c>
      <c r="K36" s="29">
        <v>100</v>
      </c>
    </row>
    <row r="37" spans="1:11" ht="38.25" x14ac:dyDescent="0.25">
      <c r="A37" s="1"/>
      <c r="B37" s="64">
        <f>ROW(B37) - ROW($B$9)</f>
        <v>28</v>
      </c>
      <c r="C37" s="45" t="s">
        <v>36</v>
      </c>
      <c r="D37" s="54" t="s">
        <v>77</v>
      </c>
      <c r="E37" s="45" t="s">
        <v>113</v>
      </c>
      <c r="F37" s="45" t="s">
        <v>139</v>
      </c>
      <c r="G37" s="45" t="s">
        <v>162</v>
      </c>
      <c r="H37" s="54" t="s">
        <v>234</v>
      </c>
      <c r="I37" s="45" t="s">
        <v>194</v>
      </c>
      <c r="J37" s="48">
        <v>1</v>
      </c>
      <c r="K37" s="28">
        <v>100</v>
      </c>
    </row>
    <row r="38" spans="1:11" x14ac:dyDescent="0.25">
      <c r="A38" s="1"/>
      <c r="B38" s="64">
        <f t="shared" si="0"/>
        <v>29</v>
      </c>
      <c r="C38" s="44" t="s">
        <v>37</v>
      </c>
      <c r="D38" s="53" t="s">
        <v>78</v>
      </c>
      <c r="E38" s="44" t="s">
        <v>113</v>
      </c>
      <c r="F38" s="53" t="s">
        <v>236</v>
      </c>
      <c r="G38" s="44" t="s">
        <v>163</v>
      </c>
      <c r="H38" s="53" t="s">
        <v>237</v>
      </c>
      <c r="I38" s="44" t="s">
        <v>195</v>
      </c>
      <c r="J38" s="47">
        <v>7</v>
      </c>
      <c r="K38" s="29">
        <v>100</v>
      </c>
    </row>
    <row r="39" spans="1:11" x14ac:dyDescent="0.25">
      <c r="A39" s="1"/>
      <c r="B39" s="64">
        <f>ROW(B39) - ROW($B$9)</f>
        <v>30</v>
      </c>
      <c r="C39" s="45" t="s">
        <v>38</v>
      </c>
      <c r="D39" s="54" t="s">
        <v>79</v>
      </c>
      <c r="E39" s="45" t="s">
        <v>113</v>
      </c>
      <c r="F39" s="54" t="s">
        <v>238</v>
      </c>
      <c r="G39" s="45" t="s">
        <v>163</v>
      </c>
      <c r="H39" s="54" t="s">
        <v>239</v>
      </c>
      <c r="I39" s="45" t="s">
        <v>196</v>
      </c>
      <c r="J39" s="48">
        <v>2</v>
      </c>
      <c r="K39" s="28">
        <v>100</v>
      </c>
    </row>
    <row r="40" spans="1:11" x14ac:dyDescent="0.25">
      <c r="A40" s="1"/>
      <c r="B40" s="64">
        <f t="shared" si="0"/>
        <v>31</v>
      </c>
      <c r="C40" s="44" t="s">
        <v>39</v>
      </c>
      <c r="D40" s="53" t="s">
        <v>80</v>
      </c>
      <c r="E40" s="44" t="s">
        <v>112</v>
      </c>
      <c r="F40" s="53" t="s">
        <v>240</v>
      </c>
      <c r="G40" s="44" t="s">
        <v>164</v>
      </c>
      <c r="H40" s="53" t="s">
        <v>241</v>
      </c>
      <c r="I40" s="44" t="s">
        <v>197</v>
      </c>
      <c r="J40" s="47">
        <v>2</v>
      </c>
      <c r="K40" s="29">
        <v>100</v>
      </c>
    </row>
    <row r="41" spans="1:11" x14ac:dyDescent="0.25">
      <c r="A41" s="1"/>
      <c r="B41" s="64">
        <f>ROW(B41) - ROW($B$9)</f>
        <v>32</v>
      </c>
      <c r="C41" s="45" t="s">
        <v>40</v>
      </c>
      <c r="D41" s="54" t="s">
        <v>81</v>
      </c>
      <c r="E41" s="45" t="s">
        <v>113</v>
      </c>
      <c r="F41" s="45" t="s">
        <v>140</v>
      </c>
      <c r="G41" s="45" t="s">
        <v>152</v>
      </c>
      <c r="H41" s="54" t="s">
        <v>235</v>
      </c>
      <c r="I41" s="45" t="s">
        <v>198</v>
      </c>
      <c r="J41" s="48">
        <v>1</v>
      </c>
      <c r="K41" s="28">
        <v>50</v>
      </c>
    </row>
    <row r="42" spans="1:11" x14ac:dyDescent="0.25">
      <c r="A42" s="1"/>
      <c r="B42" s="64">
        <f t="shared" si="0"/>
        <v>33</v>
      </c>
      <c r="C42" s="44" t="s">
        <v>41</v>
      </c>
      <c r="D42" s="53" t="s">
        <v>82</v>
      </c>
      <c r="E42" s="44" t="s">
        <v>114</v>
      </c>
      <c r="F42" s="50" t="s">
        <v>204</v>
      </c>
      <c r="G42" s="50" t="s">
        <v>204</v>
      </c>
      <c r="H42" s="55" t="s">
        <v>254</v>
      </c>
      <c r="I42" s="50" t="s">
        <v>204</v>
      </c>
      <c r="J42" s="47">
        <v>3</v>
      </c>
      <c r="K42" s="58" t="s">
        <v>203</v>
      </c>
    </row>
    <row r="43" spans="1:11" ht="25.5" x14ac:dyDescent="0.25">
      <c r="A43" s="1"/>
      <c r="B43" s="64">
        <f>ROW(B43) - ROW($B$9)</f>
        <v>34</v>
      </c>
      <c r="C43" s="45" t="s">
        <v>42</v>
      </c>
      <c r="D43" s="54" t="s">
        <v>83</v>
      </c>
      <c r="E43" s="45" t="s">
        <v>202</v>
      </c>
      <c r="F43" s="45" t="s">
        <v>115</v>
      </c>
      <c r="G43" s="45" t="s">
        <v>165</v>
      </c>
      <c r="H43" s="54" t="s">
        <v>242</v>
      </c>
      <c r="I43" s="51" t="s">
        <v>204</v>
      </c>
      <c r="J43" s="48">
        <v>1</v>
      </c>
      <c r="K43" s="28">
        <v>10</v>
      </c>
    </row>
    <row r="44" spans="1:11" ht="25.5" x14ac:dyDescent="0.25">
      <c r="A44" s="1"/>
      <c r="B44" s="64">
        <f t="shared" si="0"/>
        <v>35</v>
      </c>
      <c r="C44" s="44" t="s">
        <v>43</v>
      </c>
      <c r="D44" s="53" t="s">
        <v>84</v>
      </c>
      <c r="E44" s="44" t="s">
        <v>116</v>
      </c>
      <c r="F44" s="44" t="s">
        <v>141</v>
      </c>
      <c r="G44" s="44" t="s">
        <v>166</v>
      </c>
      <c r="H44" s="55" t="s">
        <v>254</v>
      </c>
      <c r="I44" s="50" t="s">
        <v>204</v>
      </c>
      <c r="J44" s="47">
        <v>1</v>
      </c>
      <c r="K44" s="29">
        <v>6</v>
      </c>
    </row>
    <row r="45" spans="1:11" x14ac:dyDescent="0.25">
      <c r="A45" s="1"/>
      <c r="B45" s="64">
        <f>ROW(B45) - ROW($B$9)</f>
        <v>36</v>
      </c>
      <c r="C45" s="45" t="s">
        <v>44</v>
      </c>
      <c r="D45" s="54" t="s">
        <v>85</v>
      </c>
      <c r="E45" s="45" t="s">
        <v>117</v>
      </c>
      <c r="F45" s="45" t="s">
        <v>142</v>
      </c>
      <c r="G45" s="45" t="s">
        <v>167</v>
      </c>
      <c r="H45" s="54" t="s">
        <v>243</v>
      </c>
      <c r="I45" s="51" t="s">
        <v>204</v>
      </c>
      <c r="J45" s="48">
        <v>1</v>
      </c>
      <c r="K45" s="28">
        <v>6</v>
      </c>
    </row>
    <row r="46" spans="1:11" ht="25.5" x14ac:dyDescent="0.25">
      <c r="A46" s="1"/>
      <c r="B46" s="64">
        <f t="shared" si="0"/>
        <v>37</v>
      </c>
      <c r="C46" s="44" t="s">
        <v>45</v>
      </c>
      <c r="D46" s="53" t="s">
        <v>86</v>
      </c>
      <c r="E46" s="44" t="s">
        <v>118</v>
      </c>
      <c r="F46" s="44" t="s">
        <v>143</v>
      </c>
      <c r="G46" s="44" t="s">
        <v>168</v>
      </c>
      <c r="H46" s="55" t="s">
        <v>254</v>
      </c>
      <c r="I46" s="50" t="s">
        <v>204</v>
      </c>
      <c r="J46" s="47">
        <v>1</v>
      </c>
      <c r="K46" s="29">
        <v>6</v>
      </c>
    </row>
    <row r="47" spans="1:11" ht="25.5" x14ac:dyDescent="0.25">
      <c r="A47" s="1"/>
      <c r="B47" s="64">
        <f>ROW(B47) - ROW($B$9)</f>
        <v>38</v>
      </c>
      <c r="C47" s="45" t="s">
        <v>46</v>
      </c>
      <c r="D47" s="54" t="s">
        <v>87</v>
      </c>
      <c r="E47" s="45" t="s">
        <v>119</v>
      </c>
      <c r="F47" s="45" t="s">
        <v>144</v>
      </c>
      <c r="G47" s="45" t="s">
        <v>169</v>
      </c>
      <c r="H47" s="54" t="s">
        <v>244</v>
      </c>
      <c r="I47" s="51" t="s">
        <v>204</v>
      </c>
      <c r="J47" s="48">
        <v>1</v>
      </c>
      <c r="K47" s="28">
        <v>6</v>
      </c>
    </row>
    <row r="48" spans="1:11" x14ac:dyDescent="0.25">
      <c r="A48" s="1"/>
      <c r="B48" s="64">
        <f t="shared" si="0"/>
        <v>39</v>
      </c>
      <c r="C48" s="44" t="s">
        <v>47</v>
      </c>
      <c r="D48" s="53" t="s">
        <v>88</v>
      </c>
      <c r="E48" s="44" t="s">
        <v>120</v>
      </c>
      <c r="F48" s="44" t="s">
        <v>145</v>
      </c>
      <c r="G48" s="44" t="s">
        <v>170</v>
      </c>
      <c r="H48" s="55" t="s">
        <v>203</v>
      </c>
      <c r="I48" s="50" t="s">
        <v>204</v>
      </c>
      <c r="J48" s="47">
        <v>1</v>
      </c>
      <c r="K48" s="29">
        <v>6</v>
      </c>
    </row>
    <row r="49" spans="1:11" x14ac:dyDescent="0.25">
      <c r="A49" s="1"/>
      <c r="B49" s="64">
        <f>ROW(B49) - ROW($B$9)</f>
        <v>40</v>
      </c>
      <c r="C49" s="45" t="s">
        <v>48</v>
      </c>
      <c r="D49" s="54" t="s">
        <v>89</v>
      </c>
      <c r="E49" s="45" t="s">
        <v>121</v>
      </c>
      <c r="F49" s="45" t="s">
        <v>146</v>
      </c>
      <c r="G49" s="45" t="s">
        <v>171</v>
      </c>
      <c r="H49" s="54" t="s">
        <v>245</v>
      </c>
      <c r="I49" s="51" t="s">
        <v>204</v>
      </c>
      <c r="J49" s="48">
        <v>1</v>
      </c>
      <c r="K49" s="28">
        <v>6</v>
      </c>
    </row>
    <row r="50" spans="1:11" ht="38.25" x14ac:dyDescent="0.25">
      <c r="A50" s="1"/>
      <c r="B50" s="64">
        <f t="shared" si="0"/>
        <v>41</v>
      </c>
      <c r="C50" s="44" t="s">
        <v>49</v>
      </c>
      <c r="D50" s="53" t="s">
        <v>90</v>
      </c>
      <c r="E50" s="44" t="s">
        <v>122</v>
      </c>
      <c r="F50" s="44" t="s">
        <v>147</v>
      </c>
      <c r="G50" s="44" t="s">
        <v>172</v>
      </c>
      <c r="H50" s="53" t="s">
        <v>246</v>
      </c>
      <c r="I50" s="50" t="s">
        <v>204</v>
      </c>
      <c r="J50" s="47">
        <v>1</v>
      </c>
      <c r="K50" s="29">
        <v>6</v>
      </c>
    </row>
    <row r="51" spans="1:11" ht="38.25" x14ac:dyDescent="0.25">
      <c r="A51" s="1"/>
      <c r="B51" s="64">
        <f>ROW(B51) - ROW($B$9)</f>
        <v>42</v>
      </c>
      <c r="C51" s="45" t="s">
        <v>50</v>
      </c>
      <c r="D51" s="54" t="s">
        <v>91</v>
      </c>
      <c r="E51" s="45" t="s">
        <v>123</v>
      </c>
      <c r="F51" s="45" t="s">
        <v>148</v>
      </c>
      <c r="G51" s="45" t="s">
        <v>173</v>
      </c>
      <c r="H51" s="54" t="s">
        <v>247</v>
      </c>
      <c r="I51" s="51" t="s">
        <v>204</v>
      </c>
      <c r="J51" s="48">
        <v>1</v>
      </c>
      <c r="K51" s="28">
        <v>10</v>
      </c>
    </row>
    <row r="52" spans="1:11" ht="38.25" x14ac:dyDescent="0.25">
      <c r="A52" s="1"/>
      <c r="B52" s="64">
        <f t="shared" si="0"/>
        <v>43</v>
      </c>
      <c r="C52" s="44" t="s">
        <v>51</v>
      </c>
      <c r="D52" s="53" t="s">
        <v>92</v>
      </c>
      <c r="E52" s="44" t="s">
        <v>202</v>
      </c>
      <c r="F52" s="44" t="s">
        <v>124</v>
      </c>
      <c r="G52" s="44" t="s">
        <v>174</v>
      </c>
      <c r="H52" s="53" t="s">
        <v>248</v>
      </c>
      <c r="I52" s="44" t="s">
        <v>199</v>
      </c>
      <c r="J52" s="47">
        <v>2</v>
      </c>
      <c r="K52" s="29">
        <v>11</v>
      </c>
    </row>
    <row r="53" spans="1:11" ht="38.25" x14ac:dyDescent="0.25">
      <c r="A53" s="1"/>
      <c r="B53" s="64">
        <f>ROW(B53) - ROW($B$9)</f>
        <v>44</v>
      </c>
      <c r="C53" s="45" t="s">
        <v>52</v>
      </c>
      <c r="D53" s="54" t="s">
        <v>93</v>
      </c>
      <c r="E53" s="45" t="s">
        <v>202</v>
      </c>
      <c r="F53" s="45" t="s">
        <v>125</v>
      </c>
      <c r="G53" s="45" t="s">
        <v>174</v>
      </c>
      <c r="H53" s="54" t="s">
        <v>249</v>
      </c>
      <c r="I53" s="45" t="s">
        <v>200</v>
      </c>
      <c r="J53" s="48">
        <v>1</v>
      </c>
      <c r="K53" s="28">
        <v>10</v>
      </c>
    </row>
    <row r="54" spans="1:11" ht="39" thickBot="1" x14ac:dyDescent="0.3">
      <c r="A54" s="1"/>
      <c r="B54" s="65">
        <f t="shared" si="0"/>
        <v>45</v>
      </c>
      <c r="C54" s="60" t="s">
        <v>53</v>
      </c>
      <c r="D54" s="56" t="s">
        <v>94</v>
      </c>
      <c r="E54" s="60" t="s">
        <v>202</v>
      </c>
      <c r="F54" s="60" t="s">
        <v>126</v>
      </c>
      <c r="G54" s="60" t="s">
        <v>175</v>
      </c>
      <c r="H54" s="56" t="s">
        <v>250</v>
      </c>
      <c r="I54" s="60" t="s">
        <v>201</v>
      </c>
      <c r="J54" s="49">
        <v>1</v>
      </c>
      <c r="K54" s="38">
        <v>10</v>
      </c>
    </row>
    <row r="55" spans="1:11" ht="19.5" customHeight="1" x14ac:dyDescent="0.25">
      <c r="A55" s="1"/>
      <c r="B55" s="39"/>
      <c r="C55" s="40" t="s">
        <v>5</v>
      </c>
      <c r="D55" s="41"/>
      <c r="E55" s="42"/>
      <c r="F55" s="59"/>
      <c r="G55" s="59"/>
      <c r="H55" s="59"/>
      <c r="I55" s="105"/>
      <c r="J55" s="105"/>
      <c r="K55" s="106"/>
    </row>
    <row r="56" spans="1:11" ht="15.75" thickBot="1" x14ac:dyDescent="0.3">
      <c r="A56" s="1"/>
      <c r="B56" s="22"/>
      <c r="C56" s="8" t="s">
        <v>6</v>
      </c>
      <c r="D56" s="9"/>
      <c r="E56" s="9"/>
      <c r="F56" s="37"/>
      <c r="G56" s="37"/>
      <c r="H56" s="37"/>
      <c r="I56" s="107"/>
      <c r="J56" s="107"/>
      <c r="K56" s="108"/>
    </row>
  </sheetData>
  <mergeCells count="5">
    <mergeCell ref="I55:K56"/>
    <mergeCell ref="K3:K8"/>
    <mergeCell ref="J3:J8"/>
    <mergeCell ref="I2:K2"/>
    <mergeCell ref="I1:J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A8FCB-7220-490A-87EB-3CE6A0C47FB5}">
  <dimension ref="B1:L56"/>
  <sheetViews>
    <sheetView tabSelected="1" workbookViewId="0">
      <selection activeCell="J51" sqref="J51"/>
    </sheetView>
  </sheetViews>
  <sheetFormatPr defaultRowHeight="15" x14ac:dyDescent="0.25"/>
  <cols>
    <col min="2" max="2" width="3" bestFit="1" customWidth="1"/>
    <col min="3" max="3" width="31.140625" bestFit="1" customWidth="1"/>
    <col min="4" max="4" width="36.140625" customWidth="1"/>
    <col min="5" max="5" width="20.85546875" customWidth="1"/>
    <col min="6" max="6" width="25.28515625" bestFit="1" customWidth="1"/>
    <col min="7" max="7" width="24.7109375" bestFit="1" customWidth="1"/>
    <col min="8" max="8" width="18.85546875" customWidth="1"/>
    <col min="9" max="9" width="9.7109375" bestFit="1" customWidth="1"/>
    <col min="10" max="10" width="19.42578125" bestFit="1" customWidth="1"/>
    <col min="11" max="12" width="26.28515625" customWidth="1"/>
  </cols>
  <sheetData>
    <row r="1" spans="2:12" ht="15.75" thickBot="1" x14ac:dyDescent="0.3">
      <c r="H1" s="98"/>
    </row>
    <row r="2" spans="2:12" ht="32.25" thickBot="1" x14ac:dyDescent="0.3">
      <c r="B2" s="70"/>
      <c r="C2" s="71" t="s">
        <v>0</v>
      </c>
      <c r="D2" s="71"/>
      <c r="E2" s="24" t="s">
        <v>7</v>
      </c>
      <c r="F2" s="10"/>
      <c r="G2" s="3"/>
      <c r="H2" s="3"/>
      <c r="I2" s="3"/>
      <c r="J2" s="115"/>
      <c r="K2" s="115"/>
      <c r="L2" s="116"/>
    </row>
    <row r="3" spans="2:12" ht="15.75" x14ac:dyDescent="0.25">
      <c r="B3" s="19"/>
      <c r="C3" s="129" t="s">
        <v>1</v>
      </c>
      <c r="D3" s="129"/>
      <c r="E3" s="25" t="s">
        <v>8</v>
      </c>
      <c r="F3" s="129"/>
      <c r="G3" s="130"/>
      <c r="H3" s="130"/>
      <c r="I3" s="130"/>
      <c r="J3" s="130"/>
      <c r="K3" s="130"/>
      <c r="L3" s="117"/>
    </row>
    <row r="4" spans="2:12" ht="15.75" x14ac:dyDescent="0.25">
      <c r="B4" s="19"/>
      <c r="C4" s="129" t="s">
        <v>2</v>
      </c>
      <c r="D4" s="129"/>
      <c r="E4" s="26" t="s">
        <v>8</v>
      </c>
      <c r="F4" s="72"/>
      <c r="G4" s="73"/>
      <c r="H4" s="73"/>
      <c r="I4" s="73"/>
      <c r="J4" s="73"/>
      <c r="K4" s="73"/>
      <c r="L4" s="109"/>
    </row>
    <row r="5" spans="2:12" ht="15.75" x14ac:dyDescent="0.25">
      <c r="B5" s="19"/>
      <c r="C5" s="129" t="s">
        <v>3</v>
      </c>
      <c r="D5" s="129"/>
      <c r="E5" s="27" t="s">
        <v>9</v>
      </c>
      <c r="F5" s="74"/>
      <c r="G5" s="75"/>
      <c r="H5" s="75"/>
      <c r="I5" s="75"/>
      <c r="J5" s="75"/>
      <c r="K5" s="75"/>
      <c r="L5" s="109"/>
    </row>
    <row r="6" spans="2:12" x14ac:dyDescent="0.25">
      <c r="B6" s="20"/>
      <c r="C6" s="76"/>
      <c r="D6" s="76"/>
      <c r="E6" s="15"/>
      <c r="F6" s="74"/>
      <c r="G6" s="75"/>
      <c r="H6" s="75"/>
      <c r="I6" s="75"/>
      <c r="J6" s="75"/>
      <c r="K6" s="75"/>
      <c r="L6" s="109"/>
    </row>
    <row r="7" spans="2:12" x14ac:dyDescent="0.25">
      <c r="B7" s="21"/>
      <c r="C7" s="131"/>
      <c r="D7" s="131"/>
      <c r="E7" s="17"/>
      <c r="F7" s="131"/>
      <c r="G7" s="132"/>
      <c r="H7" s="132"/>
      <c r="I7" s="132"/>
      <c r="J7" s="132"/>
      <c r="K7" s="132"/>
      <c r="L7" s="109"/>
    </row>
    <row r="8" spans="2:12" ht="15.75" thickBot="1" x14ac:dyDescent="0.3">
      <c r="B8" s="33"/>
      <c r="C8" s="133"/>
      <c r="D8" s="133"/>
      <c r="E8" s="35"/>
      <c r="F8" s="131"/>
      <c r="G8" s="132"/>
      <c r="H8" s="132"/>
      <c r="I8" s="132"/>
      <c r="J8" s="132"/>
      <c r="K8" s="132"/>
      <c r="L8" s="109"/>
    </row>
    <row r="9" spans="2:12" ht="15.75" thickBot="1" x14ac:dyDescent="0.3">
      <c r="B9" s="30" t="s">
        <v>4</v>
      </c>
      <c r="C9" s="30" t="s">
        <v>10</v>
      </c>
      <c r="D9" s="31" t="s">
        <v>54</v>
      </c>
      <c r="E9" s="30" t="s">
        <v>95</v>
      </c>
      <c r="F9" s="31" t="s">
        <v>127</v>
      </c>
      <c r="G9" s="30" t="s">
        <v>149</v>
      </c>
      <c r="H9" s="31" t="s">
        <v>205</v>
      </c>
      <c r="I9" s="30" t="s">
        <v>176</v>
      </c>
      <c r="J9" s="62" t="s">
        <v>282</v>
      </c>
      <c r="K9" s="30" t="s">
        <v>207</v>
      </c>
      <c r="L9" s="30" t="s">
        <v>283</v>
      </c>
    </row>
    <row r="10" spans="2:12" s="87" customFormat="1" ht="39" thickBot="1" x14ac:dyDescent="0.3">
      <c r="B10" s="77">
        <f>ROW(B10) - ROW($B$9)</f>
        <v>1</v>
      </c>
      <c r="C10" s="88" t="s">
        <v>11</v>
      </c>
      <c r="D10" s="52" t="s">
        <v>55</v>
      </c>
      <c r="E10" s="88" t="s">
        <v>96</v>
      </c>
      <c r="F10" s="89" t="s">
        <v>128</v>
      </c>
      <c r="G10" s="88" t="s">
        <v>150</v>
      </c>
      <c r="H10" s="52" t="s">
        <v>206</v>
      </c>
      <c r="I10" s="88" t="s">
        <v>177</v>
      </c>
      <c r="J10" s="78">
        <v>3</v>
      </c>
      <c r="K10" s="36">
        <v>20</v>
      </c>
      <c r="L10" s="36"/>
    </row>
    <row r="11" spans="2:12" ht="51.75" thickBot="1" x14ac:dyDescent="0.3">
      <c r="B11" s="77">
        <f t="shared" ref="B11:B54" si="0">ROW(B11) - ROW($B$9)</f>
        <v>2</v>
      </c>
      <c r="C11" s="44" t="s">
        <v>271</v>
      </c>
      <c r="D11" s="91" t="s">
        <v>56</v>
      </c>
      <c r="E11" s="90" t="s">
        <v>97</v>
      </c>
      <c r="F11" s="44" t="s">
        <v>208</v>
      </c>
      <c r="G11" s="90" t="s">
        <v>150</v>
      </c>
      <c r="H11" s="53" t="s">
        <v>209</v>
      </c>
      <c r="I11" s="90" t="s">
        <v>178</v>
      </c>
      <c r="J11" s="79">
        <v>24</v>
      </c>
      <c r="K11" s="29">
        <v>150</v>
      </c>
      <c r="L11" s="29"/>
    </row>
    <row r="12" spans="2:12" ht="15.75" thickBot="1" x14ac:dyDescent="0.3">
      <c r="B12" s="77">
        <f t="shared" si="0"/>
        <v>3</v>
      </c>
      <c r="C12" s="92" t="s">
        <v>13</v>
      </c>
      <c r="D12" s="93" t="s">
        <v>57</v>
      </c>
      <c r="E12" s="92" t="s">
        <v>98</v>
      </c>
      <c r="F12" s="93" t="s">
        <v>129</v>
      </c>
      <c r="G12" s="92" t="s">
        <v>151</v>
      </c>
      <c r="H12" s="54" t="s">
        <v>210</v>
      </c>
      <c r="I12" s="92" t="s">
        <v>179</v>
      </c>
      <c r="J12" s="80">
        <v>1</v>
      </c>
      <c r="K12" s="28">
        <v>20</v>
      </c>
      <c r="L12" s="28"/>
    </row>
    <row r="13" spans="2:12" ht="15.75" thickBot="1" x14ac:dyDescent="0.3">
      <c r="B13" s="77">
        <f t="shared" si="0"/>
        <v>4</v>
      </c>
      <c r="C13" s="90" t="s">
        <v>14</v>
      </c>
      <c r="D13" s="91" t="s">
        <v>58</v>
      </c>
      <c r="E13" s="90" t="s">
        <v>97</v>
      </c>
      <c r="F13" s="91" t="s">
        <v>130</v>
      </c>
      <c r="G13" s="90" t="s">
        <v>152</v>
      </c>
      <c r="H13" s="53" t="s">
        <v>212</v>
      </c>
      <c r="I13" s="90" t="s">
        <v>180</v>
      </c>
      <c r="J13" s="79">
        <v>8</v>
      </c>
      <c r="K13" s="29">
        <v>100</v>
      </c>
      <c r="L13" s="29"/>
    </row>
    <row r="14" spans="2:12" ht="26.25" thickBot="1" x14ac:dyDescent="0.3">
      <c r="B14" s="77">
        <f t="shared" si="0"/>
        <v>5</v>
      </c>
      <c r="C14" s="92" t="s">
        <v>272</v>
      </c>
      <c r="D14" s="54" t="s">
        <v>59</v>
      </c>
      <c r="E14" s="92" t="s">
        <v>97</v>
      </c>
      <c r="F14" s="93" t="s">
        <v>131</v>
      </c>
      <c r="G14" s="92" t="s">
        <v>153</v>
      </c>
      <c r="H14" s="54" t="s">
        <v>211</v>
      </c>
      <c r="I14" s="92" t="s">
        <v>181</v>
      </c>
      <c r="J14" s="80">
        <v>2</v>
      </c>
      <c r="K14" s="28">
        <v>50</v>
      </c>
      <c r="L14" s="28"/>
    </row>
    <row r="15" spans="2:12" ht="15.75" thickBot="1" x14ac:dyDescent="0.3">
      <c r="B15" s="77">
        <f t="shared" si="0"/>
        <v>6</v>
      </c>
      <c r="C15" s="90" t="s">
        <v>273</v>
      </c>
      <c r="D15" s="91" t="s">
        <v>60</v>
      </c>
      <c r="E15" s="90" t="s">
        <v>97</v>
      </c>
      <c r="F15" s="91" t="s">
        <v>132</v>
      </c>
      <c r="G15" s="90" t="s">
        <v>152</v>
      </c>
      <c r="H15" s="53" t="s">
        <v>213</v>
      </c>
      <c r="I15" s="90" t="s">
        <v>182</v>
      </c>
      <c r="J15" s="79">
        <v>7</v>
      </c>
      <c r="K15" s="29">
        <v>50</v>
      </c>
      <c r="L15" s="29"/>
    </row>
    <row r="16" spans="2:12" ht="15.75" thickBot="1" x14ac:dyDescent="0.3">
      <c r="B16" s="77">
        <f t="shared" si="0"/>
        <v>7</v>
      </c>
      <c r="C16" s="92" t="s">
        <v>16</v>
      </c>
      <c r="D16" s="93" t="s">
        <v>61</v>
      </c>
      <c r="E16" s="92" t="s">
        <v>97</v>
      </c>
      <c r="F16" s="93" t="s">
        <v>133</v>
      </c>
      <c r="G16" s="92" t="s">
        <v>150</v>
      </c>
      <c r="H16" s="54" t="s">
        <v>214</v>
      </c>
      <c r="I16" s="92" t="s">
        <v>183</v>
      </c>
      <c r="J16" s="80">
        <v>1</v>
      </c>
      <c r="K16" s="32">
        <v>10</v>
      </c>
      <c r="L16" s="32"/>
    </row>
    <row r="17" spans="2:12" ht="15.75" thickBot="1" x14ac:dyDescent="0.3">
      <c r="B17" s="77">
        <f t="shared" si="0"/>
        <v>8</v>
      </c>
      <c r="C17" s="90" t="s">
        <v>274</v>
      </c>
      <c r="D17" s="91" t="s">
        <v>275</v>
      </c>
      <c r="E17" s="90" t="s">
        <v>276</v>
      </c>
      <c r="F17" s="91" t="s">
        <v>277</v>
      </c>
      <c r="G17" s="90" t="s">
        <v>150</v>
      </c>
      <c r="H17" s="101" t="s">
        <v>281</v>
      </c>
      <c r="I17" s="90" t="s">
        <v>278</v>
      </c>
      <c r="J17" s="79">
        <v>1</v>
      </c>
      <c r="K17" s="29">
        <v>50</v>
      </c>
      <c r="L17" s="29"/>
    </row>
    <row r="18" spans="2:12" ht="15.75" thickBot="1" x14ac:dyDescent="0.3">
      <c r="B18" s="77">
        <f t="shared" si="0"/>
        <v>9</v>
      </c>
      <c r="C18" s="92" t="s">
        <v>269</v>
      </c>
      <c r="D18" s="93" t="s">
        <v>216</v>
      </c>
      <c r="E18" s="92" t="s">
        <v>97</v>
      </c>
      <c r="F18" s="93" t="s">
        <v>217</v>
      </c>
      <c r="G18" s="92" t="s">
        <v>152</v>
      </c>
      <c r="H18" s="54" t="s">
        <v>215</v>
      </c>
      <c r="I18" s="92" t="s">
        <v>184</v>
      </c>
      <c r="J18" s="100">
        <v>1</v>
      </c>
      <c r="K18" s="32">
        <v>100</v>
      </c>
      <c r="L18" s="32"/>
    </row>
    <row r="19" spans="2:12" ht="15.75" thickBot="1" x14ac:dyDescent="0.3">
      <c r="B19" s="77">
        <f t="shared" si="0"/>
        <v>10</v>
      </c>
      <c r="C19" s="90" t="s">
        <v>17</v>
      </c>
      <c r="D19" s="91" t="s">
        <v>62</v>
      </c>
      <c r="E19" s="90" t="s">
        <v>97</v>
      </c>
      <c r="F19" s="91" t="s">
        <v>134</v>
      </c>
      <c r="G19" s="90" t="s">
        <v>150</v>
      </c>
      <c r="H19" s="53" t="s">
        <v>218</v>
      </c>
      <c r="I19" s="90" t="s">
        <v>185</v>
      </c>
      <c r="J19" s="79">
        <v>1</v>
      </c>
      <c r="K19" s="29">
        <v>20</v>
      </c>
      <c r="L19" s="29"/>
    </row>
    <row r="20" spans="2:12" ht="15.75" thickBot="1" x14ac:dyDescent="0.3">
      <c r="B20" s="77">
        <f t="shared" si="0"/>
        <v>11</v>
      </c>
      <c r="C20" s="92" t="s">
        <v>18</v>
      </c>
      <c r="D20" s="93" t="s">
        <v>63</v>
      </c>
      <c r="E20" s="92" t="s">
        <v>202</v>
      </c>
      <c r="F20" s="93" t="s">
        <v>99</v>
      </c>
      <c r="G20" s="92" t="s">
        <v>154</v>
      </c>
      <c r="H20" s="54" t="s">
        <v>219</v>
      </c>
      <c r="I20" s="99" t="s">
        <v>203</v>
      </c>
      <c r="J20" s="100">
        <v>1</v>
      </c>
      <c r="K20" s="32">
        <v>10</v>
      </c>
      <c r="L20" s="32"/>
    </row>
    <row r="21" spans="2:12" ht="15.75" thickBot="1" x14ac:dyDescent="0.3">
      <c r="B21" s="77">
        <f t="shared" si="0"/>
        <v>12</v>
      </c>
      <c r="C21" s="90" t="s">
        <v>21</v>
      </c>
      <c r="D21" s="91" t="s">
        <v>64</v>
      </c>
      <c r="E21" s="90" t="s">
        <v>202</v>
      </c>
      <c r="F21" s="91" t="s">
        <v>100</v>
      </c>
      <c r="G21" s="90" t="s">
        <v>155</v>
      </c>
      <c r="H21" s="53" t="s">
        <v>220</v>
      </c>
      <c r="I21" s="94" t="s">
        <v>203</v>
      </c>
      <c r="J21" s="79">
        <v>1</v>
      </c>
      <c r="K21" s="29">
        <v>6</v>
      </c>
      <c r="L21" s="29"/>
    </row>
    <row r="22" spans="2:12" ht="15.75" thickBot="1" x14ac:dyDescent="0.3">
      <c r="B22" s="77">
        <f t="shared" si="0"/>
        <v>13</v>
      </c>
      <c r="C22" s="92" t="s">
        <v>20</v>
      </c>
      <c r="D22" s="93" t="s">
        <v>65</v>
      </c>
      <c r="E22" s="92" t="s">
        <v>202</v>
      </c>
      <c r="F22" s="93" t="s">
        <v>101</v>
      </c>
      <c r="G22" s="92" t="s">
        <v>156</v>
      </c>
      <c r="H22" s="54" t="s">
        <v>221</v>
      </c>
      <c r="I22" s="99" t="s">
        <v>203</v>
      </c>
      <c r="J22" s="100">
        <v>1</v>
      </c>
      <c r="K22" s="32">
        <v>20</v>
      </c>
      <c r="L22" s="32"/>
    </row>
    <row r="23" spans="2:12" ht="51.75" thickBot="1" x14ac:dyDescent="0.3">
      <c r="B23" s="77">
        <f t="shared" si="0"/>
        <v>14</v>
      </c>
      <c r="C23" s="90" t="s">
        <v>19</v>
      </c>
      <c r="D23" s="53" t="s">
        <v>66</v>
      </c>
      <c r="E23" s="90" t="s">
        <v>202</v>
      </c>
      <c r="F23" s="91" t="s">
        <v>102</v>
      </c>
      <c r="G23" s="90" t="s">
        <v>157</v>
      </c>
      <c r="H23" s="53" t="s">
        <v>222</v>
      </c>
      <c r="I23" s="94" t="s">
        <v>203</v>
      </c>
      <c r="J23" s="79">
        <v>1</v>
      </c>
      <c r="K23" s="29">
        <v>6</v>
      </c>
      <c r="L23" s="29"/>
    </row>
    <row r="24" spans="2:12" ht="15.75" thickBot="1" x14ac:dyDescent="0.3">
      <c r="B24" s="77">
        <f t="shared" si="0"/>
        <v>15</v>
      </c>
      <c r="C24" s="92" t="s">
        <v>22</v>
      </c>
      <c r="D24" s="93" t="s">
        <v>256</v>
      </c>
      <c r="E24" s="92" t="s">
        <v>103</v>
      </c>
      <c r="F24" s="93" t="s">
        <v>258</v>
      </c>
      <c r="G24" s="99" t="s">
        <v>260</v>
      </c>
      <c r="H24" s="54" t="s">
        <v>261</v>
      </c>
      <c r="I24" s="99" t="s">
        <v>203</v>
      </c>
      <c r="J24" s="100">
        <v>1</v>
      </c>
      <c r="K24" s="32">
        <v>10</v>
      </c>
      <c r="L24" s="32"/>
    </row>
    <row r="25" spans="2:12" ht="15.75" thickBot="1" x14ac:dyDescent="0.3">
      <c r="B25" s="77">
        <f t="shared" si="0"/>
        <v>16</v>
      </c>
      <c r="C25" s="90" t="s">
        <v>23</v>
      </c>
      <c r="D25" s="91" t="s">
        <v>67</v>
      </c>
      <c r="E25" s="90" t="s">
        <v>202</v>
      </c>
      <c r="F25" s="91" t="s">
        <v>104</v>
      </c>
      <c r="G25" s="90" t="s">
        <v>154</v>
      </c>
      <c r="H25" s="53" t="s">
        <v>223</v>
      </c>
      <c r="I25" s="94" t="s">
        <v>203</v>
      </c>
      <c r="J25" s="79">
        <v>1</v>
      </c>
      <c r="K25" s="29">
        <v>6</v>
      </c>
      <c r="L25" s="29"/>
    </row>
    <row r="26" spans="2:12" ht="15.75" thickBot="1" x14ac:dyDescent="0.3">
      <c r="B26" s="77">
        <f t="shared" si="0"/>
        <v>17</v>
      </c>
      <c r="C26" s="92" t="s">
        <v>24</v>
      </c>
      <c r="D26" s="93" t="s">
        <v>257</v>
      </c>
      <c r="E26" s="92" t="s">
        <v>105</v>
      </c>
      <c r="F26" s="93" t="s">
        <v>259</v>
      </c>
      <c r="G26" s="99" t="s">
        <v>260</v>
      </c>
      <c r="H26" s="54" t="s">
        <v>262</v>
      </c>
      <c r="I26" s="99" t="s">
        <v>203</v>
      </c>
      <c r="J26" s="100">
        <v>1</v>
      </c>
      <c r="K26" s="32">
        <v>20</v>
      </c>
      <c r="L26" s="32"/>
    </row>
    <row r="27" spans="2:12" ht="15.75" thickBot="1" x14ac:dyDescent="0.3">
      <c r="B27" s="77">
        <f t="shared" si="0"/>
        <v>18</v>
      </c>
      <c r="C27" s="90" t="s">
        <v>25</v>
      </c>
      <c r="D27" s="91" t="s">
        <v>68</v>
      </c>
      <c r="E27" s="90" t="s">
        <v>202</v>
      </c>
      <c r="F27" s="91" t="s">
        <v>106</v>
      </c>
      <c r="G27" s="90" t="s">
        <v>153</v>
      </c>
      <c r="H27" s="55" t="s">
        <v>255</v>
      </c>
      <c r="I27" s="90" t="s">
        <v>186</v>
      </c>
      <c r="J27" s="79">
        <v>1</v>
      </c>
      <c r="K27" s="29">
        <v>7</v>
      </c>
      <c r="L27" s="29"/>
    </row>
    <row r="28" spans="2:12" ht="26.25" thickBot="1" x14ac:dyDescent="0.3">
      <c r="B28" s="77">
        <f t="shared" si="0"/>
        <v>19</v>
      </c>
      <c r="C28" s="92" t="s">
        <v>26</v>
      </c>
      <c r="D28" s="54" t="s">
        <v>69</v>
      </c>
      <c r="E28" s="92" t="s">
        <v>107</v>
      </c>
      <c r="F28" s="93" t="s">
        <v>135</v>
      </c>
      <c r="G28" s="92" t="s">
        <v>158</v>
      </c>
      <c r="H28" s="54" t="s">
        <v>224</v>
      </c>
      <c r="I28" s="92" t="s">
        <v>187</v>
      </c>
      <c r="J28" s="100">
        <v>1</v>
      </c>
      <c r="K28" s="32">
        <v>10</v>
      </c>
      <c r="L28" s="32"/>
    </row>
    <row r="29" spans="2:12" ht="26.25" thickBot="1" x14ac:dyDescent="0.3">
      <c r="B29" s="77">
        <f t="shared" si="0"/>
        <v>20</v>
      </c>
      <c r="C29" s="90" t="s">
        <v>27</v>
      </c>
      <c r="D29" s="53" t="s">
        <v>70</v>
      </c>
      <c r="E29" s="90" t="s">
        <v>202</v>
      </c>
      <c r="F29" s="91" t="s">
        <v>108</v>
      </c>
      <c r="G29" s="90" t="s">
        <v>159</v>
      </c>
      <c r="H29" s="53" t="s">
        <v>225</v>
      </c>
      <c r="I29" s="90" t="s">
        <v>188</v>
      </c>
      <c r="J29" s="79">
        <v>1</v>
      </c>
      <c r="K29" s="29">
        <v>10</v>
      </c>
      <c r="L29" s="29"/>
    </row>
    <row r="30" spans="2:12" ht="39" thickBot="1" x14ac:dyDescent="0.3">
      <c r="B30" s="77">
        <f t="shared" si="0"/>
        <v>21</v>
      </c>
      <c r="C30" s="92" t="s">
        <v>28</v>
      </c>
      <c r="D30" s="54" t="s">
        <v>71</v>
      </c>
      <c r="E30" s="92" t="s">
        <v>109</v>
      </c>
      <c r="F30" s="93" t="s">
        <v>136</v>
      </c>
      <c r="G30" s="92" t="s">
        <v>150</v>
      </c>
      <c r="H30" s="54" t="s">
        <v>227</v>
      </c>
      <c r="I30" s="92" t="s">
        <v>189</v>
      </c>
      <c r="J30" s="100">
        <v>1</v>
      </c>
      <c r="K30" s="32">
        <v>10</v>
      </c>
      <c r="L30" s="32"/>
    </row>
    <row r="31" spans="2:12" ht="39" thickBot="1" x14ac:dyDescent="0.3">
      <c r="B31" s="77">
        <f t="shared" si="0"/>
        <v>22</v>
      </c>
      <c r="C31" s="90" t="s">
        <v>29</v>
      </c>
      <c r="D31" s="53" t="s">
        <v>72</v>
      </c>
      <c r="E31" s="90" t="s">
        <v>109</v>
      </c>
      <c r="F31" s="91" t="s">
        <v>137</v>
      </c>
      <c r="G31" s="90" t="s">
        <v>150</v>
      </c>
      <c r="H31" s="53" t="s">
        <v>228</v>
      </c>
      <c r="I31" s="94" t="s">
        <v>204</v>
      </c>
      <c r="J31" s="79">
        <v>1</v>
      </c>
      <c r="K31" s="29">
        <v>50</v>
      </c>
      <c r="L31" s="29"/>
    </row>
    <row r="32" spans="2:12" ht="26.25" thickBot="1" x14ac:dyDescent="0.3">
      <c r="B32" s="77">
        <f t="shared" si="0"/>
        <v>23</v>
      </c>
      <c r="C32" s="92" t="s">
        <v>30</v>
      </c>
      <c r="D32" s="54" t="s">
        <v>73</v>
      </c>
      <c r="E32" s="92" t="s">
        <v>202</v>
      </c>
      <c r="F32" s="93" t="s">
        <v>110</v>
      </c>
      <c r="G32" s="92" t="s">
        <v>160</v>
      </c>
      <c r="H32" s="54" t="s">
        <v>226</v>
      </c>
      <c r="I32" s="92" t="s">
        <v>190</v>
      </c>
      <c r="J32" s="100">
        <v>1</v>
      </c>
      <c r="K32" s="32">
        <v>10</v>
      </c>
      <c r="L32" s="32"/>
    </row>
    <row r="33" spans="2:12" ht="15.75" thickBot="1" x14ac:dyDescent="0.3">
      <c r="B33" s="77">
        <f t="shared" si="0"/>
        <v>24</v>
      </c>
      <c r="C33" s="90" t="s">
        <v>31</v>
      </c>
      <c r="D33" s="91" t="s">
        <v>74</v>
      </c>
      <c r="E33" s="90" t="s">
        <v>111</v>
      </c>
      <c r="F33" s="44" t="s">
        <v>229</v>
      </c>
      <c r="G33" s="90" t="s">
        <v>161</v>
      </c>
      <c r="H33" s="53" t="s">
        <v>230</v>
      </c>
      <c r="I33" s="94" t="s">
        <v>204</v>
      </c>
      <c r="J33" s="79">
        <v>2</v>
      </c>
      <c r="K33" s="29">
        <v>50</v>
      </c>
      <c r="L33" s="29"/>
    </row>
    <row r="34" spans="2:12" ht="15.75" thickBot="1" x14ac:dyDescent="0.3">
      <c r="B34" s="77">
        <f t="shared" si="0"/>
        <v>25</v>
      </c>
      <c r="C34" s="92" t="s">
        <v>32</v>
      </c>
      <c r="D34" s="93" t="s">
        <v>75</v>
      </c>
      <c r="E34" s="92" t="s">
        <v>111</v>
      </c>
      <c r="F34" s="45" t="s">
        <v>231</v>
      </c>
      <c r="G34" s="92" t="s">
        <v>161</v>
      </c>
      <c r="H34" s="54" t="s">
        <v>232</v>
      </c>
      <c r="I34" s="99" t="s">
        <v>204</v>
      </c>
      <c r="J34" s="100">
        <v>1</v>
      </c>
      <c r="K34" s="32">
        <v>10</v>
      </c>
      <c r="L34" s="32"/>
    </row>
    <row r="35" spans="2:12" ht="15.75" thickBot="1" x14ac:dyDescent="0.3">
      <c r="B35" s="77">
        <f t="shared" si="0"/>
        <v>26</v>
      </c>
      <c r="C35" s="90" t="s">
        <v>33</v>
      </c>
      <c r="D35" s="95" t="s">
        <v>264</v>
      </c>
      <c r="E35" s="90" t="s">
        <v>265</v>
      </c>
      <c r="F35" s="91" t="s">
        <v>266</v>
      </c>
      <c r="G35" s="90" t="s">
        <v>267</v>
      </c>
      <c r="H35" s="53" t="s">
        <v>268</v>
      </c>
      <c r="I35" s="90" t="s">
        <v>191</v>
      </c>
      <c r="J35" s="79">
        <v>1</v>
      </c>
      <c r="K35" s="29">
        <v>50</v>
      </c>
      <c r="L35" s="29"/>
    </row>
    <row r="36" spans="2:12" ht="15.75" thickBot="1" x14ac:dyDescent="0.3">
      <c r="B36" s="77">
        <f t="shared" si="0"/>
        <v>27</v>
      </c>
      <c r="C36" s="92" t="s">
        <v>34</v>
      </c>
      <c r="D36" s="96" t="s">
        <v>253</v>
      </c>
      <c r="E36" s="92" t="s">
        <v>113</v>
      </c>
      <c r="F36" s="96" t="s">
        <v>252</v>
      </c>
      <c r="G36" s="97" t="s">
        <v>152</v>
      </c>
      <c r="H36" s="54" t="s">
        <v>251</v>
      </c>
      <c r="I36" s="92" t="s">
        <v>192</v>
      </c>
      <c r="J36" s="100">
        <v>4</v>
      </c>
      <c r="K36" s="32">
        <v>100</v>
      </c>
      <c r="L36" s="32"/>
    </row>
    <row r="37" spans="2:12" ht="26.25" thickBot="1" x14ac:dyDescent="0.3">
      <c r="B37" s="77">
        <f t="shared" si="0"/>
        <v>28</v>
      </c>
      <c r="C37" s="44" t="s">
        <v>35</v>
      </c>
      <c r="D37" s="91" t="s">
        <v>76</v>
      </c>
      <c r="E37" s="90" t="s">
        <v>113</v>
      </c>
      <c r="F37" s="91" t="s">
        <v>138</v>
      </c>
      <c r="G37" s="90" t="s">
        <v>152</v>
      </c>
      <c r="H37" s="53" t="s">
        <v>233</v>
      </c>
      <c r="I37" s="90" t="s">
        <v>193</v>
      </c>
      <c r="J37" s="79">
        <v>10</v>
      </c>
      <c r="K37" s="29">
        <v>100</v>
      </c>
      <c r="L37" s="29"/>
    </row>
    <row r="38" spans="2:12" ht="15.75" thickBot="1" x14ac:dyDescent="0.3">
      <c r="B38" s="77">
        <f t="shared" si="0"/>
        <v>29</v>
      </c>
      <c r="C38" s="92" t="s">
        <v>279</v>
      </c>
      <c r="D38" s="93" t="s">
        <v>78</v>
      </c>
      <c r="E38" s="92" t="s">
        <v>113</v>
      </c>
      <c r="F38" s="45" t="s">
        <v>236</v>
      </c>
      <c r="G38" s="92" t="s">
        <v>163</v>
      </c>
      <c r="H38" s="54" t="s">
        <v>237</v>
      </c>
      <c r="I38" s="92" t="s">
        <v>195</v>
      </c>
      <c r="J38" s="100">
        <v>8</v>
      </c>
      <c r="K38" s="32">
        <v>100</v>
      </c>
      <c r="L38" s="32"/>
    </row>
    <row r="39" spans="2:12" ht="15.75" thickBot="1" x14ac:dyDescent="0.3">
      <c r="B39" s="77">
        <f t="shared" si="0"/>
        <v>30</v>
      </c>
      <c r="C39" s="90" t="s">
        <v>38</v>
      </c>
      <c r="D39" s="91" t="s">
        <v>79</v>
      </c>
      <c r="E39" s="90" t="s">
        <v>113</v>
      </c>
      <c r="F39" s="44" t="s">
        <v>238</v>
      </c>
      <c r="G39" s="90" t="s">
        <v>163</v>
      </c>
      <c r="H39" s="53" t="s">
        <v>239</v>
      </c>
      <c r="I39" s="90" t="s">
        <v>196</v>
      </c>
      <c r="J39" s="79">
        <v>2</v>
      </c>
      <c r="K39" s="29">
        <v>100</v>
      </c>
      <c r="L39" s="29"/>
    </row>
    <row r="40" spans="2:12" ht="15.75" thickBot="1" x14ac:dyDescent="0.3">
      <c r="B40" s="77">
        <f t="shared" si="0"/>
        <v>31</v>
      </c>
      <c r="C40" s="92" t="s">
        <v>39</v>
      </c>
      <c r="D40" s="93" t="s">
        <v>80</v>
      </c>
      <c r="E40" s="92" t="s">
        <v>112</v>
      </c>
      <c r="F40" s="45" t="s">
        <v>240</v>
      </c>
      <c r="G40" s="92" t="s">
        <v>164</v>
      </c>
      <c r="H40" s="54" t="s">
        <v>241</v>
      </c>
      <c r="I40" s="92" t="s">
        <v>197</v>
      </c>
      <c r="J40" s="100">
        <v>2</v>
      </c>
      <c r="K40" s="32">
        <v>100</v>
      </c>
      <c r="L40" s="32"/>
    </row>
    <row r="41" spans="2:12" ht="15.75" thickBot="1" x14ac:dyDescent="0.3">
      <c r="B41" s="77">
        <f t="shared" si="0"/>
        <v>32</v>
      </c>
      <c r="C41" s="90" t="s">
        <v>40</v>
      </c>
      <c r="D41" s="91" t="s">
        <v>81</v>
      </c>
      <c r="E41" s="90" t="s">
        <v>113</v>
      </c>
      <c r="F41" s="91" t="s">
        <v>140</v>
      </c>
      <c r="G41" s="90" t="s">
        <v>152</v>
      </c>
      <c r="H41" s="53" t="s">
        <v>235</v>
      </c>
      <c r="I41" s="90" t="s">
        <v>198</v>
      </c>
      <c r="J41" s="79">
        <v>1</v>
      </c>
      <c r="K41" s="29">
        <v>50</v>
      </c>
      <c r="L41" s="29"/>
    </row>
    <row r="42" spans="2:12" ht="15.75" thickBot="1" x14ac:dyDescent="0.3">
      <c r="B42" s="77">
        <f t="shared" si="0"/>
        <v>33</v>
      </c>
      <c r="C42" s="122" t="s">
        <v>41</v>
      </c>
      <c r="D42" s="123" t="s">
        <v>82</v>
      </c>
      <c r="E42" s="122" t="s">
        <v>114</v>
      </c>
      <c r="F42" s="124" t="s">
        <v>204</v>
      </c>
      <c r="G42" s="125" t="s">
        <v>204</v>
      </c>
      <c r="H42" s="126" t="s">
        <v>254</v>
      </c>
      <c r="I42" s="125" t="s">
        <v>204</v>
      </c>
      <c r="J42" s="122">
        <v>3</v>
      </c>
      <c r="K42" s="127" t="s">
        <v>203</v>
      </c>
      <c r="L42" s="128" t="s">
        <v>284</v>
      </c>
    </row>
    <row r="43" spans="2:12" ht="26.25" thickBot="1" x14ac:dyDescent="0.3">
      <c r="B43" s="77">
        <f t="shared" si="0"/>
        <v>34</v>
      </c>
      <c r="C43" s="90" t="s">
        <v>280</v>
      </c>
      <c r="D43" s="53" t="s">
        <v>83</v>
      </c>
      <c r="E43" s="90" t="s">
        <v>202</v>
      </c>
      <c r="F43" s="91" t="s">
        <v>115</v>
      </c>
      <c r="G43" s="90" t="s">
        <v>165</v>
      </c>
      <c r="H43" s="53" t="s">
        <v>242</v>
      </c>
      <c r="I43" s="94" t="s">
        <v>204</v>
      </c>
      <c r="J43" s="79">
        <v>2</v>
      </c>
      <c r="K43" s="29">
        <v>10</v>
      </c>
      <c r="L43" s="29"/>
    </row>
    <row r="44" spans="2:12" ht="15.75" thickBot="1" x14ac:dyDescent="0.3">
      <c r="B44" s="77">
        <f t="shared" si="0"/>
        <v>35</v>
      </c>
      <c r="C44" s="92" t="s">
        <v>43</v>
      </c>
      <c r="D44" s="93" t="s">
        <v>84</v>
      </c>
      <c r="E44" s="92" t="s">
        <v>116</v>
      </c>
      <c r="F44" s="93" t="s">
        <v>141</v>
      </c>
      <c r="G44" s="92" t="s">
        <v>166</v>
      </c>
      <c r="H44" s="57" t="s">
        <v>254</v>
      </c>
      <c r="I44" s="99" t="s">
        <v>204</v>
      </c>
      <c r="J44" s="100">
        <v>1</v>
      </c>
      <c r="K44" s="32">
        <v>6</v>
      </c>
      <c r="L44" s="32"/>
    </row>
    <row r="45" spans="2:12" ht="15.75" thickBot="1" x14ac:dyDescent="0.3">
      <c r="B45" s="77">
        <f t="shared" si="0"/>
        <v>36</v>
      </c>
      <c r="C45" s="90" t="s">
        <v>44</v>
      </c>
      <c r="D45" s="91" t="s">
        <v>85</v>
      </c>
      <c r="E45" s="90" t="s">
        <v>117</v>
      </c>
      <c r="F45" s="91" t="s">
        <v>142</v>
      </c>
      <c r="G45" s="90" t="s">
        <v>167</v>
      </c>
      <c r="H45" s="53" t="s">
        <v>243</v>
      </c>
      <c r="I45" s="94" t="s">
        <v>204</v>
      </c>
      <c r="J45" s="79">
        <v>1</v>
      </c>
      <c r="K45" s="29">
        <v>6</v>
      </c>
      <c r="L45" s="29"/>
    </row>
    <row r="46" spans="2:12" ht="15.75" thickBot="1" x14ac:dyDescent="0.3">
      <c r="B46" s="77">
        <f t="shared" si="0"/>
        <v>37</v>
      </c>
      <c r="C46" s="92" t="s">
        <v>45</v>
      </c>
      <c r="D46" s="93" t="s">
        <v>86</v>
      </c>
      <c r="E46" s="92" t="s">
        <v>118</v>
      </c>
      <c r="F46" s="93" t="s">
        <v>143</v>
      </c>
      <c r="G46" s="92" t="s">
        <v>168</v>
      </c>
      <c r="H46" s="57" t="s">
        <v>254</v>
      </c>
      <c r="I46" s="99" t="s">
        <v>204</v>
      </c>
      <c r="J46" s="100">
        <v>1</v>
      </c>
      <c r="K46" s="32">
        <v>6</v>
      </c>
      <c r="L46" s="32"/>
    </row>
    <row r="47" spans="2:12" ht="26.25" thickBot="1" x14ac:dyDescent="0.3">
      <c r="B47" s="77">
        <f t="shared" si="0"/>
        <v>38</v>
      </c>
      <c r="C47" s="90" t="s">
        <v>46</v>
      </c>
      <c r="D47" s="53" t="s">
        <v>87</v>
      </c>
      <c r="E47" s="90" t="s">
        <v>119</v>
      </c>
      <c r="F47" s="91" t="s">
        <v>144</v>
      </c>
      <c r="G47" s="90" t="s">
        <v>169</v>
      </c>
      <c r="H47" s="53" t="s">
        <v>244</v>
      </c>
      <c r="I47" s="94" t="s">
        <v>204</v>
      </c>
      <c r="J47" s="79">
        <v>1</v>
      </c>
      <c r="K47" s="29">
        <v>6</v>
      </c>
      <c r="L47" s="29"/>
    </row>
    <row r="48" spans="2:12" ht="15.75" thickBot="1" x14ac:dyDescent="0.3">
      <c r="B48" s="77">
        <f t="shared" si="0"/>
        <v>39</v>
      </c>
      <c r="C48" s="92" t="s">
        <v>47</v>
      </c>
      <c r="D48" s="54" t="s">
        <v>88</v>
      </c>
      <c r="E48" s="92" t="s">
        <v>120</v>
      </c>
      <c r="F48" s="93" t="s">
        <v>145</v>
      </c>
      <c r="G48" s="92" t="s">
        <v>170</v>
      </c>
      <c r="H48" s="57" t="s">
        <v>203</v>
      </c>
      <c r="I48" s="99" t="s">
        <v>204</v>
      </c>
      <c r="J48" s="100">
        <v>1</v>
      </c>
      <c r="K48" s="32">
        <v>6</v>
      </c>
      <c r="L48" s="32"/>
    </row>
    <row r="49" spans="2:12" ht="15.75" thickBot="1" x14ac:dyDescent="0.3">
      <c r="B49" s="77">
        <f t="shared" si="0"/>
        <v>40</v>
      </c>
      <c r="C49" s="90" t="s">
        <v>48</v>
      </c>
      <c r="D49" s="53" t="s">
        <v>89</v>
      </c>
      <c r="E49" s="90" t="s">
        <v>121</v>
      </c>
      <c r="F49" s="91" t="s">
        <v>146</v>
      </c>
      <c r="G49" s="90" t="s">
        <v>171</v>
      </c>
      <c r="H49" s="53" t="s">
        <v>245</v>
      </c>
      <c r="I49" s="94" t="s">
        <v>204</v>
      </c>
      <c r="J49" s="79">
        <v>1</v>
      </c>
      <c r="K49" s="29">
        <v>6</v>
      </c>
      <c r="L49" s="29"/>
    </row>
    <row r="50" spans="2:12" ht="39" thickBot="1" x14ac:dyDescent="0.3">
      <c r="B50" s="77">
        <f t="shared" si="0"/>
        <v>41</v>
      </c>
      <c r="C50" s="92" t="s">
        <v>49</v>
      </c>
      <c r="D50" s="54" t="s">
        <v>90</v>
      </c>
      <c r="E50" s="92" t="s">
        <v>122</v>
      </c>
      <c r="F50" s="93" t="s">
        <v>147</v>
      </c>
      <c r="G50" s="92" t="s">
        <v>172</v>
      </c>
      <c r="H50" s="54" t="s">
        <v>246</v>
      </c>
      <c r="I50" s="99" t="s">
        <v>204</v>
      </c>
      <c r="J50" s="100">
        <v>1</v>
      </c>
      <c r="K50" s="32">
        <v>6</v>
      </c>
      <c r="L50" s="32"/>
    </row>
    <row r="51" spans="2:12" ht="39" thickBot="1" x14ac:dyDescent="0.3">
      <c r="B51" s="77">
        <f t="shared" si="0"/>
        <v>42</v>
      </c>
      <c r="C51" s="90" t="s">
        <v>50</v>
      </c>
      <c r="D51" s="53" t="s">
        <v>91</v>
      </c>
      <c r="E51" s="90" t="s">
        <v>123</v>
      </c>
      <c r="F51" s="91" t="s">
        <v>148</v>
      </c>
      <c r="G51" s="90" t="s">
        <v>173</v>
      </c>
      <c r="H51" s="53" t="s">
        <v>247</v>
      </c>
      <c r="I51" s="94" t="s">
        <v>204</v>
      </c>
      <c r="J51" s="79">
        <v>1</v>
      </c>
      <c r="K51" s="29">
        <v>10</v>
      </c>
      <c r="L51" s="29"/>
    </row>
    <row r="52" spans="2:12" ht="39" thickBot="1" x14ac:dyDescent="0.3">
      <c r="B52" s="77">
        <f t="shared" si="0"/>
        <v>43</v>
      </c>
      <c r="C52" s="92" t="s">
        <v>51</v>
      </c>
      <c r="D52" s="54" t="s">
        <v>92</v>
      </c>
      <c r="E52" s="92" t="s">
        <v>202</v>
      </c>
      <c r="F52" s="93" t="s">
        <v>124</v>
      </c>
      <c r="G52" s="92" t="s">
        <v>174</v>
      </c>
      <c r="H52" s="54" t="s">
        <v>248</v>
      </c>
      <c r="I52" s="92" t="s">
        <v>199</v>
      </c>
      <c r="J52" s="100">
        <v>2</v>
      </c>
      <c r="K52" s="32">
        <v>11</v>
      </c>
      <c r="L52" s="32"/>
    </row>
    <row r="53" spans="2:12" ht="39" thickBot="1" x14ac:dyDescent="0.3">
      <c r="B53" s="77">
        <f t="shared" si="0"/>
        <v>44</v>
      </c>
      <c r="C53" s="90" t="s">
        <v>52</v>
      </c>
      <c r="D53" s="53" t="s">
        <v>93</v>
      </c>
      <c r="E53" s="90" t="s">
        <v>202</v>
      </c>
      <c r="F53" s="91" t="s">
        <v>125</v>
      </c>
      <c r="G53" s="90" t="s">
        <v>174</v>
      </c>
      <c r="H53" s="53" t="s">
        <v>249</v>
      </c>
      <c r="I53" s="90" t="s">
        <v>200</v>
      </c>
      <c r="J53" s="79">
        <v>1</v>
      </c>
      <c r="K53" s="29">
        <v>10</v>
      </c>
      <c r="L53" s="29"/>
    </row>
    <row r="54" spans="2:12" ht="39" thickBot="1" x14ac:dyDescent="0.3">
      <c r="B54" s="134">
        <f t="shared" si="0"/>
        <v>45</v>
      </c>
      <c r="C54" s="135" t="s">
        <v>53</v>
      </c>
      <c r="D54" s="102" t="s">
        <v>94</v>
      </c>
      <c r="E54" s="135" t="s">
        <v>202</v>
      </c>
      <c r="F54" s="103" t="s">
        <v>126</v>
      </c>
      <c r="G54" s="135" t="s">
        <v>175</v>
      </c>
      <c r="H54" s="102" t="s">
        <v>250</v>
      </c>
      <c r="I54" s="135" t="s">
        <v>201</v>
      </c>
      <c r="J54" s="136">
        <v>1</v>
      </c>
      <c r="K54" s="104">
        <v>10</v>
      </c>
      <c r="L54" s="104"/>
    </row>
    <row r="55" spans="2:12" x14ac:dyDescent="0.25">
      <c r="B55" s="81"/>
      <c r="C55" s="82" t="s">
        <v>5</v>
      </c>
      <c r="D55" s="83"/>
      <c r="E55" s="42"/>
      <c r="F55" s="118"/>
      <c r="G55" s="118"/>
      <c r="H55" s="118"/>
      <c r="I55" s="118"/>
      <c r="J55" s="118"/>
      <c r="K55" s="118"/>
      <c r="L55" s="119"/>
    </row>
    <row r="56" spans="2:12" ht="15.75" thickBot="1" x14ac:dyDescent="0.3">
      <c r="B56" s="84"/>
      <c r="C56" s="85" t="s">
        <v>6</v>
      </c>
      <c r="D56" s="86"/>
      <c r="E56" s="86"/>
      <c r="F56" s="120"/>
      <c r="G56" s="120"/>
      <c r="H56" s="120"/>
      <c r="I56" s="120"/>
      <c r="J56" s="120"/>
      <c r="K56" s="120"/>
      <c r="L56" s="121"/>
    </row>
  </sheetData>
  <mergeCells count="3">
    <mergeCell ref="L3:L8"/>
    <mergeCell ref="J2:L2"/>
    <mergeCell ref="F55:L56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2022-06-30T12:01:56Z</dcterms:modified>
</cp:coreProperties>
</file>