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501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ManarHarake-sEMGDevice\Deliverables\BOM\Control-Board\"/>
    </mc:Choice>
  </mc:AlternateContent>
  <xr:revisionPtr revIDLastSave="0" documentId="13_ncr:1_{67CD9DA3-6257-4937-98B2-352A059D23E0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44" i="1" l="1"/>
  <c r="P27" i="1"/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L17" i="1"/>
  <c r="P20" i="1" l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5" i="1" l="1"/>
  <c r="P56" i="1" s="1"/>
  <c r="B10" i="1"/>
</calcChain>
</file>

<file path=xl/sharedStrings.xml><?xml version="1.0" encoding="utf-8"?>
<sst xmlns="http://schemas.openxmlformats.org/spreadsheetml/2006/main" count="447" uniqueCount="295">
  <si>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</si>
  <si>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</si>
  <si>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</si>
  <si>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</si>
  <si>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</si>
  <si>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</si>
  <si>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</si>
  <si>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</si>
  <si>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</si>
  <si>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</si>
  <si>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</si>
  <si>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</si>
  <si>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</si>
  <si>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</si>
  <si>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</si>
  <si>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</si>
  <si>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</si>
  <si>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</si>
  <si>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</si>
  <si>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</si>
  <si>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</si>
  <si>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</si>
  <si>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</si>
  <si>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</si>
  <si>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</si>
  <si>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</si>
  <si>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</si>
  <si>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</si>
  <si>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</si>
  <si>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</si>
  <si>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</si>
  <si>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</si>
  <si>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</si>
  <si>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</si>
  <si>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</si>
  <si>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</si>
  <si>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</si>
  <si>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</si>
  <si>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</si>
  <si>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</si>
  <si>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</si>
  <si>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</si>
  <si>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</si>
  <si>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</si>
  <si>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</si>
  <si>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</si>
  <si>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</si>
  <si>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</si>
  <si>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</si>
  <si>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</si>
  <si>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</si>
  <si>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</si>
  <si>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</si>
  <si>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</si>
  <si>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</si>
  <si>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</si>
  <si>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</si>
  <si>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</si>
  <si>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</si>
  <si>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</si>
  <si>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</si>
  <si>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</si>
  <si>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</si>
  <si>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</si>
  <si>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</si>
  <si>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</si>
  <si>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</si>
  <si>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</si>
  <si>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</si>
  <si>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</si>
  <si>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</si>
  <si>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</si>
  <si>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</si>
  <si>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</si>
  <si>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</si>
  <si>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</si>
  <si>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</si>
  <si>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</si>
  <si>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</si>
  <si>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</si>
  <si>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</si>
  <si>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</si>
  <si>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</si>
  <si>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</si>
  <si>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</si>
  <si>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</si>
  <si>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</si>
  <si>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</si>
  <si>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</si>
  <si>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</si>
  <si>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</si>
  <si>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</si>
  <si>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</si>
  <si>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</si>
  <si>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</si>
  <si>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</si>
  <si>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</si>
  <si>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</si>
  <si>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</si>
  <si>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</si>
  <si>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</si>
  <si>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</si>
  <si>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</si>
  <si>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</si>
  <si>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</si>
  <si>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</si>
  <si>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</si>
  <si>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</si>
  <si>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</si>
  <si>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</si>
  <si>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</si>
  <si>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</si>
  <si>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</si>
  <si>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</si>
  <si>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</si>
  <si>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</si>
  <si>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</si>
  <si>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</si>
  <si>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</si>
  <si>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</si>
  <si>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</si>
  <si>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</si>
  <si>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</si>
  <si>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</si>
  <si>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</si>
  <si>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</si>
  <si>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</si>
  <si>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</si>
  <si>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</si>
  <si>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</si>
  <si>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</si>
  <si>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</si>
  <si>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</si>
  <si>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</si>
  <si>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</si>
  <si>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</si>
  <si>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</si>
  <si>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</si>
  <si>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</si>
  <si>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</si>
  <si>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</si>
  <si>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</si>
  <si>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</si>
  <si>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</si>
  <si>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</si>
  <si>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</si>
  <si>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</si>
  <si>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</si>
  <si>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</si>
  <si>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</si>
  <si>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</si>
  <si>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</si>
  <si>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</si>
  <si>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</si>
  <si>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</si>
  <si>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</si>
  <si>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</si>
  <si>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</si>
  <si>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</si>
  <si>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</si>
  <si>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</si>
  <si>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</si>
  <si>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</si>
  <si>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</si>
  <si>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</si>
  <si>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</si>
  <si>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</si>
  <si>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</si>
  <si>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</si>
  <si>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</si>
  <si>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</si>
  <si>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</si>
  <si>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</si>
  <si>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</si>
  <si>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</si>
  <si>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</si>
  <si>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</si>
  <si>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</si>
  <si>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</si>
  <si>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</si>
  <si>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</si>
  <si>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</si>
  <si>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</si>
  <si>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</si>
  <si>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</si>
  <si>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</si>
  <si>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</si>
  <si>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</si>
  <si>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</si>
  <si>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</si>
  <si>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</si>
  <si>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</si>
  <si>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</si>
  <si>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</si>
  <si>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</si>
  <si>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</si>
  <si>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</si>
  <si>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</si>
  <si>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</si>
  <si>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</si>
  <si>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</si>
  <si>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</si>
  <si>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</si>
  <si>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</si>
  <si>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</si>
  <si>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</si>
  <si>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</si>
  <si>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</si>
  <si>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</si>
  <si>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</si>
  <si>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</si>
  <si>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</si>
  <si>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</si>
  <si>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</si>
  <si>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</si>
  <si>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</si>
  <si>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</si>
  <si>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</si>
  <si>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</si>
  <si>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</si>
  <si>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</si>
  <si>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</si>
  <si>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</si>
  <si>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</si>
  <si>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</si>
  <si>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</si>
  <si>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</si>
  <si>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</si>
  <si>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</si>
  <si>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</si>
  <si>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</si>
  <si>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</si>
  <si>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</si>
  <si>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</si>
  <si>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</si>
  <si>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</si>
  <si>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</si>
  <si>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</si>
  <si>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</si>
  <si>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</si>
  <si>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</si>
  <si>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</si>
  <si>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</si>
  <si>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</si>
  <si>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</si>
  <si>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</si>
  <si>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</si>
  <si>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</si>
  <si>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</si>
  <si>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</si>
  <si>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</si>
  <si>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</si>
  <si>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</si>
  <si>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</si>
  <si>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</si>
  <si>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</si>
  <si>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</si>
  <si>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</si>
  <si>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</si>
  <si>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</si>
  <si>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</si>
  <si>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</si>
  <si>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</si>
  <si>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</si>
  <si>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</si>
  <si>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</si>
  <si>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</si>
  <si>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</si>
  <si>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</si>
  <si>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</si>
  <si>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</si>
  <si>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</si>
  <si>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</si>
  <si>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</si>
  <si>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</si>
  <si>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</si>
  <si>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</si>
  <si>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</si>
  <si>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</si>
  <si>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</si>
  <si>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</si>
  <si>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</si>
  <si>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</si>
  <si>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</si>
  <si>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</si>
  <si>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</si>
  <si>
    <t>C126492</t>
  </si>
  <si>
    <t>DO NOT MOUNT</t>
  </si>
  <si>
    <t>Remarks (Iftikhar)</t>
  </si>
  <si>
    <t>Remarks (Faizan)</t>
  </si>
  <si>
    <t>Quote added from Lulu</t>
  </si>
  <si>
    <t>Quote changed after receiving better rates from Lulu</t>
  </si>
  <si>
    <t>GRM188R61E106MA73D</t>
  </si>
  <si>
    <t>C91606</t>
  </si>
  <si>
    <t>Part changed, orignal discontinued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</si>
</sst>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2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/>
    <xf numFmtId="0" fontId="16" fillId="3" borderId="17" xfId="0" applyFont="1" applyFill="1" applyBorder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1" xfId="0" applyFont="1" applyFill="1" applyBorder="1" applyAlignment="1" applyProtection="1">
      <alignment vertical="center"/>
      <protection locked="0"/>
    </xf>
    <xf numFmtId="0" fontId="11" fillId="3" borderId="11" xfId="0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/>
    <xf numFmtId="0" fontId="16" fillId="3" borderId="8" xfId="0" applyFont="1" applyFill="1" applyBorder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 wrapText="1"/>
    </xf>
    <xf numFmtId="0" fontId="19" fillId="4" borderId="6" xfId="0" quotePrefix="1" applyFont="1" applyFill="1" applyBorder="1" applyAlignment="1">
      <alignment horizontal="center" vertical="center" wrapText="1"/>
    </xf>
    <xf numFmtId="0" fontId="19" fillId="4" borderId="23" xfId="0" quotePrefix="1" applyFont="1" applyFill="1" applyBorder="1" applyAlignment="1">
      <alignment horizontal="center" vertical="center" wrapText="1"/>
    </xf>
    <xf numFmtId="0" fontId="19" fillId="4" borderId="25" xfId="0" quotePrefix="1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/>
    </xf>
    <xf numFmtId="0" fontId="19" fillId="4" borderId="14" xfId="0" applyFont="1" applyFill="1" applyBorder="1" applyAlignment="1">
      <alignment horizontal="center" vertical="center"/>
    </xf>
    <xf numFmtId="0" fontId="19" fillId="4" borderId="14" xfId="0" quotePrefix="1" applyFont="1" applyFill="1" applyBorder="1" applyAlignment="1">
      <alignment horizontal="center" vertical="center"/>
    </xf>
    <xf numFmtId="0" fontId="23" fillId="4" borderId="14" xfId="0" quotePrefix="1" applyFont="1" applyFill="1" applyBorder="1" applyAlignment="1">
      <alignment horizontal="center" vertical="center"/>
    </xf>
    <xf numFmtId="0" fontId="19" fillId="4" borderId="25" xfId="0" applyFont="1" applyFill="1" applyBorder="1" applyAlignment="1">
      <alignment horizontal="center" vertical="center" wrapText="1"/>
    </xf>
    <xf numFmtId="0" fontId="24" fillId="4" borderId="14" xfId="1" applyFont="1" applyFill="1" applyBorder="1" applyAlignment="1">
      <alignment horizontal="center" vertical="center"/>
    </xf>
    <xf numFmtId="165" fontId="19" fillId="4" borderId="14" xfId="0" applyNumberFormat="1" applyFont="1" applyFill="1" applyBorder="1" applyAlignment="1">
      <alignment horizontal="center" vertical="center"/>
    </xf>
    <xf numFmtId="165" fontId="25" fillId="7" borderId="14" xfId="0" applyNumberFormat="1" applyFont="1" applyFill="1" applyBorder="1" applyAlignment="1">
      <alignment horizontal="center" vertical="center"/>
    </xf>
    <xf numFmtId="165" fontId="23" fillId="4" borderId="14" xfId="0" applyNumberFormat="1" applyFont="1" applyFill="1" applyBorder="1" applyAlignment="1">
      <alignment horizontal="center" vertical="center"/>
    </xf>
    <xf numFmtId="166" fontId="16" fillId="7" borderId="14" xfId="0" applyNumberFormat="1" applyFont="1" applyFill="1" applyBorder="1" applyAlignment="1">
      <alignment horizontal="center" vertical="center"/>
    </xf>
    <xf numFmtId="165" fontId="25" fillId="6" borderId="14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HRS-Hirose-FH34SRJ-12S-0-5SH-50_C424659.html" TargetMode="External"/><Relationship Id="rId18" Type="http://schemas.openxmlformats.org/officeDocument/2006/relationships/hyperlink" Target="https://lcsc.com/product-detail/Ferrite-Beads_Murata-Electronics-BLM18PG300SN1D_C17305.html" TargetMode="External"/><Relationship Id="rId26" Type="http://schemas.openxmlformats.org/officeDocument/2006/relationships/hyperlink" Target="https://lcsc.com/product-detail/Tactile-Switches_XKB-Connectivity-TS-1185EC-C-D-B_C318893.html" TargetMode="External"/><Relationship Id="rId39" Type="http://schemas.openxmlformats.org/officeDocument/2006/relationships/hyperlink" Target="https://lcsc.com/product-detail/Multilayer-Ceramic-Capacitors-MLCC-SMD-SMT_Murata-Electronics-GCM1555C1H101JA16D_C126492.html" TargetMode="External"/><Relationship Id="rId21" Type="http://schemas.openxmlformats.org/officeDocument/2006/relationships/hyperlink" Target="https://lcsc.com/product-detail/Chip-Resistor-Surface-Mount_YAGEO-RC0402FR-0710KL_C60490.html" TargetMode="External"/><Relationship Id="rId34" Type="http://schemas.openxmlformats.org/officeDocument/2006/relationships/hyperlink" Target="https://lcsc.com/product-detail/Crystals_HCI-XC32M4-32-000-F12NLDT_C2905357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YAGEO-CC0402KRX7R8BB102_C54137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www.lcsc.com/product-detail/Power-Inductors_Chilisin-Elec-LVC505040-6R8M-N_C285870.html" TargetMode="External"/><Relationship Id="rId20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29" Type="http://schemas.openxmlformats.org/officeDocument/2006/relationships/hyperlink" Target="https://lcsc.com/product-detail/RF-Transceiver-ICs_Nordic-Semicon-nRF52810-QCAA-R_C519278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Murata-Electronics-GRM155R61E225KE11D_C385032.html" TargetMode="External"/><Relationship Id="rId11" Type="http://schemas.openxmlformats.org/officeDocument/2006/relationships/hyperlink" Target="https://lcsc.com/product-detail/Wire-To-Board-Wire-To-Wire-Connector_JST-Sales-America-B2B-ZR-LF-SN_C158011.html" TargetMode="External"/><Relationship Id="rId24" Type="http://schemas.openxmlformats.org/officeDocument/2006/relationships/hyperlink" Target="https://lcsc.com/product-detail/Chip-span-style-background-color-ff0-Resistor-span-Surface-Mount_YAGEO-AC0402JR-074K7L_C144709.html" TargetMode="External"/><Relationship Id="rId32" Type="http://schemas.openxmlformats.org/officeDocument/2006/relationships/hyperlink" Target="https://lcsc.com/product-detail/Crystals_Yangxing-Tech-X321532768KGD2SI_C620155.html" TargetMode="External"/><Relationship Id="rId37" Type="http://schemas.openxmlformats.org/officeDocument/2006/relationships/hyperlink" Target="https://lcsc.com/product-detail/span-style-background-color-ff0-Pin-span-Headers_DEALON-DZ254R-11-04-63_C2935910.html" TargetMode="External"/><Relationship Id="rId40" Type="http://schemas.openxmlformats.org/officeDocument/2006/relationships/hyperlink" Target="https://lcsc.com/product-detail/Multilayer-Ceramic-Capacitors-MLCC-SMD-SMT_Murata-Electronics-GRM188R61E106MA73D_C91606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15" Type="http://schemas.openxmlformats.org/officeDocument/2006/relationships/hyperlink" Target="https://lcsc.com/product-detail/Inductors-SMD_Sunltech-Tech-SCW1608C15NJST_C231879.html" TargetMode="External"/><Relationship Id="rId23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28" Type="http://schemas.openxmlformats.org/officeDocument/2006/relationships/hyperlink" Target="https://lcsc.com/product-detail/DC-DC-Converters_Texas-Instruments-TPS62162DSGR_C40256.html" TargetMode="External"/><Relationship Id="rId36" Type="http://schemas.openxmlformats.org/officeDocument/2006/relationships/hyperlink" Target="https://lcsc.com/product-detail/span-style-background-color-ff0-Pin-span-Headers_DEALON-DZ254R-11-08-63_C2935914.html" TargetMode="External"/><Relationship Id="rId10" Type="http://schemas.openxmlformats.org/officeDocument/2006/relationships/hyperlink" Target="https://lcsc.com/product-detail/USB-Connectors_TE-Connectivity-2305018-2_C498674.html" TargetMode="External"/><Relationship Id="rId19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31" Type="http://schemas.openxmlformats.org/officeDocument/2006/relationships/hyperlink" Target="https://lcsc.com/product-detail/Linear-Voltage-Regulators-LDO_AnaSem-VRD2828PTX_C697937.html" TargetMode="External"/><Relationship Id="rId4" Type="http://schemas.openxmlformats.org/officeDocument/2006/relationships/hyperlink" Target="https://lcsc.com/product-detail/Multilayer-Ceramic-Capacitors-MLCC-SMD-SMT_YAGEO-CC0402JRNPO9BN200_C107000.html" TargetMode="External"/><Relationship Id="rId9" Type="http://schemas.openxmlformats.org/officeDocument/2006/relationships/hyperlink" Target="https://lcsc.com/product-detail/RF-Connectors-Coaxial-Connectors_HRS-Hirose-U-FL-R-SMT-1-80_C88374.html" TargetMode="External"/><Relationship Id="rId14" Type="http://schemas.openxmlformats.org/officeDocument/2006/relationships/hyperlink" Target="https://lcsc.com/product-detail/Inductors-SMD_microgate-MGFL2012F100MT-LF_C281113.html" TargetMode="External"/><Relationship Id="rId22" Type="http://schemas.openxmlformats.org/officeDocument/2006/relationships/hyperlink" Target="https://lcsc.com/product-detail/Chip-Resistor-Surface-Mount_YAGEO-AC0402DR-0710K7L_C226678.html" TargetMode="External"/><Relationship Id="rId27" Type="http://schemas.openxmlformats.org/officeDocument/2006/relationships/hyperlink" Target="https://lcsc.com/product-detail/Monitors-Reset-Circuits_Maxim-Integrated-MAX809SEUR-T_C7270.html" TargetMode="External"/><Relationship Id="rId30" Type="http://schemas.openxmlformats.org/officeDocument/2006/relationships/hyperlink" Target="https://lcsc.com/product-detail/Motion-Sensors-Accelerometers_STMicroelectronics-LSM6DSRTR_C784817.html" TargetMode="External"/><Relationship Id="rId35" Type="http://schemas.openxmlformats.org/officeDocument/2006/relationships/hyperlink" Target="https://lcsc.com/product-detail/Chip-Resistor-Surface-Mount_YAGEO-RC0402JR-071KL_C105637.html" TargetMode="External"/><Relationship Id="rId8" Type="http://schemas.openxmlformats.org/officeDocument/2006/relationships/hyperlink" Target="https://lcsc.com/product-detail/Multilayer-Ceramic-Capacitors-MLCC-SMD-SMT_Murata-Electronics-GJM1555C1HR80WB01D_C88902.html" TargetMode="External"/><Relationship Id="rId3" Type="http://schemas.openxmlformats.org/officeDocument/2006/relationships/hyperlink" Target="https://lcsc.com/product-detail/Multilayer-Ceramic-Capacitors-MLCC-SMD-SMT_Taiyo-Yuden-EDK105BBJ475MVLF_C412302.html" TargetMode="External"/><Relationship Id="rId12" Type="http://schemas.openxmlformats.org/officeDocument/2006/relationships/hyperlink" Target="https://lcsc.com/product-detail/FFC-FPC-Connectors_XFCN-F0504-H-22-20T-R_C557729.html" TargetMode="External"/><Relationship Id="rId17" Type="http://schemas.openxmlformats.org/officeDocument/2006/relationships/hyperlink" Target="https://lcsc.com/product-detail/Inductors-SMD_Murata-Electronics-LQW18AN3N9C10D_C521237.html" TargetMode="External"/><Relationship Id="rId25" Type="http://schemas.openxmlformats.org/officeDocument/2006/relationships/hyperlink" Target="https://lcsc.com/product-detail/Chip-span-style-background-color-ff0-Resistor-span-Surface-Mount_TyoHM-RMC06035-1K1-N_C269716.html" TargetMode="External"/><Relationship Id="rId33" Type="http://schemas.openxmlformats.org/officeDocument/2006/relationships/hyperlink" Target="https://lcsc.com/product-detail/Crystals_Yangxing-Tech-X322516MOB4SI_C12668.html" TargetMode="External"/><Relationship Id="rId38" Type="http://schemas.openxmlformats.org/officeDocument/2006/relationships/hyperlink" Target="https://lcsc.com/product-detail/Chip-Resistor-Surface-Mount_UNI-ROYAL-Uniroyal-Elec-0805W8F250MT5E_C6205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6"/>
  <sheetViews>
    <sheetView tabSelected="1" topLeftCell="D1" zoomScale="85" zoomScaleNormal="85" workbookViewId="0">
      <selection activeCell="I12" sqref="I12"/>
    </sheetView>
  </sheetViews>
  <sheetFormatPr defaultRowHeight="14.4" x14ac:dyDescent="0.3"/>
  <cols>
    <col min="2" max="2" width="3.109375" style="25" customWidth="1"/>
    <col min="3" max="3" width="36" bestFit="1" customWidth="1"/>
    <col min="4" max="4" width="38.109375" bestFit="1" customWidth="1"/>
    <col min="5" max="5" width="26.33203125" customWidth="1"/>
    <col min="6" max="6" width="29.44140625" bestFit="1" customWidth="1"/>
    <col min="7" max="7" width="29.44140625" customWidth="1"/>
    <col min="8" max="8" width="26" bestFit="1" customWidth="1"/>
    <col min="9" max="9" width="18.88671875" customWidth="1"/>
    <col min="10" max="10" width="9.109375" bestFit="1" customWidth="1"/>
    <col min="11" max="11" width="17.44140625" bestFit="1" customWidth="1"/>
    <col min="12" max="12" width="17.88671875" bestFit="1" customWidth="1"/>
    <col min="13" max="13" width="19.33203125" bestFit="1" customWidth="1"/>
    <col min="14" max="14" width="7.109375" bestFit="1" customWidth="1"/>
    <col min="15" max="15" width="17.6640625" bestFit="1" customWidth="1"/>
    <col min="16" max="16" width="18.33203125" bestFit="1" customWidth="1"/>
    <col min="17" max="17" width="42.88671875" bestFit="1" customWidth="1"/>
    <col min="18" max="18" width="36" bestFit="1" customWidth="1"/>
  </cols>
  <sheetData>
    <row r="1" spans="1:18" ht="15" thickBot="1" x14ac:dyDescent="0.35">
      <c r="A1" s="1"/>
      <c r="B1" s="19"/>
      <c r="C1" s="2"/>
      <c r="D1" s="2"/>
      <c r="E1" s="2"/>
      <c r="F1" s="2"/>
      <c r="G1" s="2"/>
      <c r="H1" s="2"/>
      <c r="I1" s="2"/>
      <c r="J1" s="135"/>
      <c r="K1" s="136"/>
    </row>
    <row r="2" spans="1:18" ht="31.8" thickBot="1" x14ac:dyDescent="0.35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31"/>
      <c r="K2" s="131"/>
      <c r="L2" s="131"/>
      <c r="M2" s="131"/>
      <c r="N2" s="131"/>
      <c r="O2" s="131"/>
      <c r="P2" s="131"/>
      <c r="Q2" s="131"/>
      <c r="R2" s="132"/>
    </row>
    <row r="3" spans="1:18" ht="15.6" x14ac:dyDescent="0.3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9"/>
    </row>
    <row r="4" spans="1:18" ht="15.6" x14ac:dyDescent="0.3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30"/>
    </row>
    <row r="5" spans="1:18" ht="15.6" x14ac:dyDescent="0.3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30"/>
    </row>
    <row r="6" spans="1:18" x14ac:dyDescent="0.3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30"/>
    </row>
    <row r="7" spans="1:18" x14ac:dyDescent="0.3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30"/>
    </row>
    <row r="8" spans="1:18" ht="15" thickBot="1" x14ac:dyDescent="0.35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30"/>
    </row>
    <row r="9" spans="1:18" ht="15" thickBot="1" x14ac:dyDescent="0.35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273</v>
      </c>
      <c r="M9" s="32" t="s">
        <v>206</v>
      </c>
      <c r="N9" s="32" t="s">
        <v>207</v>
      </c>
      <c r="O9" s="32" t="s">
        <v>208</v>
      </c>
      <c r="P9" s="32" t="s">
        <v>259</v>
      </c>
      <c r="Q9" s="32" t="s">
        <v>288</v>
      </c>
      <c r="R9" s="32" t="s">
        <v>289</v>
      </c>
    </row>
    <row r="10" spans="1:18" ht="41.4" x14ac:dyDescent="0.3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5" t="s">
        <v>200</v>
      </c>
      <c r="H10" s="98" t="s">
        <v>149</v>
      </c>
      <c r="I10" s="60" t="s">
        <v>204</v>
      </c>
      <c r="J10" s="112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6.9400000000000003E-2</v>
      </c>
      <c r="P10" s="42">
        <f>O10*M10</f>
        <v>1.3880000000000001</v>
      </c>
      <c r="Q10" s="42"/>
      <c r="R10" s="42"/>
    </row>
    <row r="11" spans="1:18" ht="41.4" x14ac:dyDescent="0.3">
      <c r="A11" s="1"/>
      <c r="B11" s="78">
        <f t="shared" ref="B11:B54" si="0">ROW(B11) - ROW($B$9)</f>
        <v>2</v>
      </c>
      <c r="C11" s="52" t="s">
        <v>275</v>
      </c>
      <c r="D11" s="61" t="s">
        <v>51</v>
      </c>
      <c r="E11" s="52" t="s">
        <v>91</v>
      </c>
      <c r="F11" s="107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7.1999999999999998E-3</v>
      </c>
      <c r="P11" s="35">
        <f t="shared" ref="P11:P54" si="2">O11*M11</f>
        <v>1.08</v>
      </c>
      <c r="Q11" s="35"/>
      <c r="R11" s="35"/>
    </row>
    <row r="12" spans="1:18" x14ac:dyDescent="0.3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62" t="s">
        <v>124</v>
      </c>
      <c r="G12" s="59" t="s">
        <v>292</v>
      </c>
      <c r="H12" s="100" t="s">
        <v>150</v>
      </c>
      <c r="I12" s="62" t="s">
        <v>293</v>
      </c>
      <c r="J12" s="53" t="s">
        <v>177</v>
      </c>
      <c r="K12" s="56">
        <v>1</v>
      </c>
      <c r="L12" s="30">
        <f t="shared" si="1"/>
        <v>5</v>
      </c>
      <c r="M12" s="30">
        <v>10</v>
      </c>
      <c r="N12" s="71" t="s">
        <v>209</v>
      </c>
      <c r="O12" s="34">
        <v>3.2800000000000003E-2</v>
      </c>
      <c r="P12" s="34">
        <f t="shared" si="2"/>
        <v>0.32800000000000001</v>
      </c>
      <c r="Q12" s="34"/>
      <c r="R12" s="34" t="s">
        <v>294</v>
      </c>
    </row>
    <row r="13" spans="1:18" x14ac:dyDescent="0.3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213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7.6" x14ac:dyDescent="0.3">
      <c r="A14" s="1"/>
      <c r="B14" s="78">
        <f t="shared" si="0"/>
        <v>5</v>
      </c>
      <c r="C14" s="53" t="s">
        <v>276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212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3">
      <c r="A15" s="1"/>
      <c r="B15" s="78">
        <f t="shared" si="0"/>
        <v>6</v>
      </c>
      <c r="C15" s="52" t="s">
        <v>277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214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6.4999999999999997E-3</v>
      </c>
      <c r="P15" s="35">
        <f t="shared" si="2"/>
        <v>0.32500000000000001</v>
      </c>
      <c r="Q15" s="35"/>
      <c r="R15" s="35"/>
    </row>
    <row r="16" spans="1:18" x14ac:dyDescent="0.3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215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3">
      <c r="A17" s="1"/>
      <c r="B17" s="78">
        <f t="shared" si="0"/>
        <v>8</v>
      </c>
      <c r="C17" s="53" t="s">
        <v>278</v>
      </c>
      <c r="D17" s="62" t="s">
        <v>279</v>
      </c>
      <c r="E17" s="53" t="s">
        <v>280</v>
      </c>
      <c r="F17" s="62" t="s">
        <v>281</v>
      </c>
      <c r="G17" s="59" t="s">
        <v>200</v>
      </c>
      <c r="H17" s="62" t="s">
        <v>282</v>
      </c>
      <c r="I17" s="110" t="s">
        <v>286</v>
      </c>
      <c r="J17" s="53" t="s">
        <v>282</v>
      </c>
      <c r="K17" s="56">
        <v>1</v>
      </c>
      <c r="L17" s="30">
        <f t="shared" si="1"/>
        <v>5</v>
      </c>
      <c r="M17" s="36">
        <v>50</v>
      </c>
      <c r="N17" s="111" t="s">
        <v>209</v>
      </c>
      <c r="O17" s="37">
        <v>9.4999999999999998E-3</v>
      </c>
      <c r="P17" s="34">
        <v>0.48</v>
      </c>
      <c r="Q17" s="34"/>
      <c r="R17" s="34"/>
    </row>
    <row r="18" spans="1:18" x14ac:dyDescent="0.3">
      <c r="A18" s="1"/>
      <c r="B18" s="78">
        <f t="shared" si="0"/>
        <v>9</v>
      </c>
      <c r="C18" s="52" t="s">
        <v>283</v>
      </c>
      <c r="D18" s="61" t="s">
        <v>217</v>
      </c>
      <c r="E18" s="52" t="s">
        <v>91</v>
      </c>
      <c r="F18" s="61" t="s">
        <v>218</v>
      </c>
      <c r="G18" s="58" t="s">
        <v>200</v>
      </c>
      <c r="H18" s="99" t="s">
        <v>151</v>
      </c>
      <c r="I18" s="61" t="s">
        <v>216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3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219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3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220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9.3200000000000005E-2</v>
      </c>
      <c r="P20" s="35">
        <f t="shared" si="2"/>
        <v>0.93200000000000005</v>
      </c>
      <c r="Q20" s="35"/>
      <c r="R20" s="35"/>
    </row>
    <row r="21" spans="1:18" x14ac:dyDescent="0.3">
      <c r="A21" s="1"/>
      <c r="B21" s="78">
        <f t="shared" si="0"/>
        <v>12</v>
      </c>
      <c r="C21" s="53" t="s">
        <v>19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221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2.3786</v>
      </c>
      <c r="P21" s="34">
        <f t="shared" si="2"/>
        <v>14.271599999999999</v>
      </c>
      <c r="Q21" s="34"/>
      <c r="R21" s="34"/>
    </row>
    <row r="22" spans="1:18" x14ac:dyDescent="0.3">
      <c r="A22" s="1"/>
      <c r="B22" s="78">
        <f t="shared" si="0"/>
        <v>13</v>
      </c>
      <c r="C22" s="114" t="s">
        <v>18</v>
      </c>
      <c r="D22" s="107" t="s">
        <v>60</v>
      </c>
      <c r="E22" s="114" t="s">
        <v>199</v>
      </c>
      <c r="F22" s="107" t="s">
        <v>95</v>
      </c>
      <c r="G22" s="116" t="s">
        <v>200</v>
      </c>
      <c r="H22" s="122" t="s">
        <v>155</v>
      </c>
      <c r="I22" s="107" t="s">
        <v>222</v>
      </c>
      <c r="J22" s="116" t="s">
        <v>200</v>
      </c>
      <c r="K22" s="118">
        <v>1</v>
      </c>
      <c r="L22" s="119">
        <f t="shared" si="1"/>
        <v>5</v>
      </c>
      <c r="M22" s="119">
        <v>20</v>
      </c>
      <c r="N22" s="123" t="s">
        <v>209</v>
      </c>
      <c r="O22" s="124"/>
      <c r="P22" s="124">
        <f t="shared" si="2"/>
        <v>0</v>
      </c>
      <c r="Q22" s="35"/>
      <c r="R22" s="126" t="s">
        <v>287</v>
      </c>
    </row>
    <row r="23" spans="1:18" ht="41.4" x14ac:dyDescent="0.3">
      <c r="A23" s="1"/>
      <c r="B23" s="78">
        <f t="shared" si="0"/>
        <v>14</v>
      </c>
      <c r="C23" s="53" t="s">
        <v>17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223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3">
      <c r="A24" s="1"/>
      <c r="B24" s="78">
        <f t="shared" si="0"/>
        <v>15</v>
      </c>
      <c r="C24" s="52" t="s">
        <v>20</v>
      </c>
      <c r="D24" s="97" t="s">
        <v>260</v>
      </c>
      <c r="E24" s="52" t="s">
        <v>97</v>
      </c>
      <c r="F24" s="63" t="s">
        <v>261</v>
      </c>
      <c r="G24" s="58" t="s">
        <v>200</v>
      </c>
      <c r="H24" s="99" t="s">
        <v>262</v>
      </c>
      <c r="I24" s="61" t="s">
        <v>265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3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256</v>
      </c>
      <c r="H25" s="100" t="s">
        <v>153</v>
      </c>
      <c r="I25" s="62" t="s">
        <v>224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3">
      <c r="A26" s="1"/>
      <c r="B26" s="78">
        <f t="shared" si="0"/>
        <v>17</v>
      </c>
      <c r="C26" s="52" t="s">
        <v>22</v>
      </c>
      <c r="D26" s="63" t="s">
        <v>263</v>
      </c>
      <c r="E26" s="52" t="s">
        <v>99</v>
      </c>
      <c r="F26" s="63" t="s">
        <v>264</v>
      </c>
      <c r="G26" s="58" t="s">
        <v>255</v>
      </c>
      <c r="H26" s="99" t="s">
        <v>262</v>
      </c>
      <c r="I26" s="61" t="s">
        <v>266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3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255</v>
      </c>
      <c r="H27" s="101" t="s">
        <v>152</v>
      </c>
      <c r="I27" s="90" t="s">
        <v>255</v>
      </c>
      <c r="J27" s="88" t="s">
        <v>184</v>
      </c>
      <c r="K27" s="91">
        <v>1</v>
      </c>
      <c r="L27" s="92">
        <f t="shared" si="1"/>
        <v>5</v>
      </c>
      <c r="M27" s="92">
        <v>6</v>
      </c>
      <c r="N27" s="93" t="s">
        <v>201</v>
      </c>
      <c r="O27" s="94">
        <v>0.48</v>
      </c>
      <c r="P27" s="127">
        <f>O27*M27</f>
        <v>2.88</v>
      </c>
      <c r="Q27" s="95" t="s">
        <v>274</v>
      </c>
      <c r="R27" s="125" t="s">
        <v>290</v>
      </c>
    </row>
    <row r="28" spans="1:18" ht="27.6" x14ac:dyDescent="0.3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225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4.4600000000000001E-2</v>
      </c>
      <c r="P28" s="34">
        <f t="shared" si="2"/>
        <v>0.44600000000000001</v>
      </c>
      <c r="Q28" s="34"/>
      <c r="R28" s="34"/>
    </row>
    <row r="29" spans="1:18" ht="27.6" x14ac:dyDescent="0.3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226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41.4" x14ac:dyDescent="0.3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228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41.4" x14ac:dyDescent="0.3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229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7.6" x14ac:dyDescent="0.3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227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3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7" t="s">
        <v>133</v>
      </c>
      <c r="G33" s="52" t="s">
        <v>230</v>
      </c>
      <c r="H33" s="99" t="s">
        <v>160</v>
      </c>
      <c r="I33" s="61" t="s">
        <v>231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3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8" t="s">
        <v>134</v>
      </c>
      <c r="G34" s="53" t="s">
        <v>232</v>
      </c>
      <c r="H34" s="100" t="s">
        <v>160</v>
      </c>
      <c r="I34" s="62" t="s">
        <v>233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3">
      <c r="A35" s="1"/>
      <c r="B35" s="78">
        <f t="shared" si="0"/>
        <v>26</v>
      </c>
      <c r="C35" s="52" t="s">
        <v>31</v>
      </c>
      <c r="D35" s="61" t="s">
        <v>267</v>
      </c>
      <c r="E35" s="52" t="s">
        <v>268</v>
      </c>
      <c r="F35" s="61" t="s">
        <v>269</v>
      </c>
      <c r="G35" s="58" t="s">
        <v>200</v>
      </c>
      <c r="H35" s="102" t="s">
        <v>270</v>
      </c>
      <c r="I35" s="61" t="s">
        <v>271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3">
      <c r="A36" s="1"/>
      <c r="B36" s="78">
        <f t="shared" si="0"/>
        <v>27</v>
      </c>
      <c r="C36" s="53" t="s">
        <v>32</v>
      </c>
      <c r="D36" s="62" t="s">
        <v>253</v>
      </c>
      <c r="E36" s="53" t="s">
        <v>107</v>
      </c>
      <c r="F36" s="62" t="s">
        <v>252</v>
      </c>
      <c r="G36" s="59" t="s">
        <v>200</v>
      </c>
      <c r="H36" s="100" t="s">
        <v>151</v>
      </c>
      <c r="I36" s="62" t="s">
        <v>251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7.6" x14ac:dyDescent="0.3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234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5.9999999999999995E-4</v>
      </c>
      <c r="P37" s="35">
        <f t="shared" si="2"/>
        <v>0.06</v>
      </c>
      <c r="Q37" s="35"/>
      <c r="R37" s="35"/>
    </row>
    <row r="38" spans="1:18" x14ac:dyDescent="0.3">
      <c r="A38" s="1"/>
      <c r="B38" s="78">
        <f t="shared" si="0"/>
        <v>29</v>
      </c>
      <c r="C38" s="52" t="s">
        <v>284</v>
      </c>
      <c r="D38" s="61" t="s">
        <v>72</v>
      </c>
      <c r="E38" s="52" t="s">
        <v>107</v>
      </c>
      <c r="F38" s="107" t="s">
        <v>136</v>
      </c>
      <c r="G38" s="52" t="s">
        <v>236</v>
      </c>
      <c r="H38" s="99" t="s">
        <v>161</v>
      </c>
      <c r="I38" s="61" t="s">
        <v>237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3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8" t="s">
        <v>137</v>
      </c>
      <c r="G39" s="53" t="s">
        <v>238</v>
      </c>
      <c r="H39" s="100" t="s">
        <v>161</v>
      </c>
      <c r="I39" s="62" t="s">
        <v>239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3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7" t="s">
        <v>138</v>
      </c>
      <c r="G40" s="52" t="s">
        <v>240</v>
      </c>
      <c r="H40" s="99" t="s">
        <v>162</v>
      </c>
      <c r="I40" s="61" t="s">
        <v>241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3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235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3">
      <c r="A42" s="1"/>
      <c r="B42" s="78">
        <f t="shared" si="0"/>
        <v>33</v>
      </c>
      <c r="C42" s="114" t="s">
        <v>37</v>
      </c>
      <c r="D42" s="107" t="s">
        <v>76</v>
      </c>
      <c r="E42" s="114" t="s">
        <v>108</v>
      </c>
      <c r="F42" s="115" t="s">
        <v>201</v>
      </c>
      <c r="G42" s="116"/>
      <c r="H42" s="117" t="s">
        <v>201</v>
      </c>
      <c r="I42" s="115" t="s">
        <v>254</v>
      </c>
      <c r="J42" s="116" t="s">
        <v>201</v>
      </c>
      <c r="K42" s="118">
        <v>3</v>
      </c>
      <c r="L42" s="119">
        <f t="shared" si="1"/>
        <v>15</v>
      </c>
      <c r="M42" s="120" t="s">
        <v>200</v>
      </c>
      <c r="N42" s="120" t="s">
        <v>201</v>
      </c>
      <c r="O42" s="120" t="s">
        <v>200</v>
      </c>
      <c r="P42" s="120" t="s">
        <v>201</v>
      </c>
      <c r="Q42" s="121" t="s">
        <v>287</v>
      </c>
      <c r="R42" s="65"/>
    </row>
    <row r="43" spans="1:18" ht="27.6" x14ac:dyDescent="0.3">
      <c r="A43" s="1"/>
      <c r="B43" s="78">
        <f t="shared" si="0"/>
        <v>34</v>
      </c>
      <c r="C43" s="53" t="s">
        <v>285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242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6.0600000000000001E-2</v>
      </c>
      <c r="P43" s="34">
        <f t="shared" si="2"/>
        <v>0.60599999999999998</v>
      </c>
      <c r="Q43" s="34"/>
      <c r="R43" s="34"/>
    </row>
    <row r="44" spans="1:18" x14ac:dyDescent="0.3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254</v>
      </c>
      <c r="H44" s="101" t="s">
        <v>164</v>
      </c>
      <c r="I44" s="90" t="s">
        <v>254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 t="s">
        <v>201</v>
      </c>
      <c r="O44" s="94">
        <v>3.94</v>
      </c>
      <c r="P44" s="127">
        <f>O44*M44</f>
        <v>23.64</v>
      </c>
      <c r="Q44" s="95" t="s">
        <v>274</v>
      </c>
      <c r="R44" s="125" t="s">
        <v>290</v>
      </c>
    </row>
    <row r="45" spans="1:18" x14ac:dyDescent="0.3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243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x14ac:dyDescent="0.3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254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 t="s">
        <v>201</v>
      </c>
      <c r="O46" s="94">
        <v>1.575</v>
      </c>
      <c r="P46" s="94">
        <f t="shared" si="2"/>
        <v>9.4499999999999993</v>
      </c>
      <c r="Q46" s="95"/>
      <c r="R46" s="125" t="s">
        <v>290</v>
      </c>
    </row>
    <row r="47" spans="1:18" ht="27.6" x14ac:dyDescent="0.3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3" t="s">
        <v>167</v>
      </c>
      <c r="I47" s="81" t="s">
        <v>244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201</v>
      </c>
      <c r="O47" s="86">
        <v>7.88</v>
      </c>
      <c r="P47" s="86">
        <f t="shared" si="2"/>
        <v>47.28</v>
      </c>
      <c r="Q47" s="87" t="s">
        <v>272</v>
      </c>
      <c r="R47" s="128" t="s">
        <v>291</v>
      </c>
    </row>
    <row r="48" spans="1:18" x14ac:dyDescent="0.3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 t="s">
        <v>201</v>
      </c>
      <c r="O48" s="94">
        <v>12.6</v>
      </c>
      <c r="P48" s="94">
        <f t="shared" si="2"/>
        <v>75.599999999999994</v>
      </c>
      <c r="Q48" s="95" t="s">
        <v>274</v>
      </c>
      <c r="R48" s="125" t="s">
        <v>290</v>
      </c>
    </row>
    <row r="49" spans="1:18" x14ac:dyDescent="0.3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13" t="s">
        <v>169</v>
      </c>
      <c r="I49" s="62" t="s">
        <v>245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41.4" x14ac:dyDescent="0.3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246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41.4" x14ac:dyDescent="0.3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247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41.4" x14ac:dyDescent="0.3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248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0.33639999999999998</v>
      </c>
      <c r="P52" s="35">
        <f t="shared" si="2"/>
        <v>3.7003999999999997</v>
      </c>
      <c r="Q52" s="35"/>
      <c r="R52" s="35"/>
    </row>
    <row r="53" spans="1:18" ht="41.4" x14ac:dyDescent="0.3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249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42" thickBot="1" x14ac:dyDescent="0.35">
      <c r="A54" s="1"/>
      <c r="B54" s="78">
        <f t="shared" si="0"/>
        <v>45</v>
      </c>
      <c r="C54" s="68" t="s">
        <v>48</v>
      </c>
      <c r="D54" s="64" t="s">
        <v>88</v>
      </c>
      <c r="E54" s="109" t="s">
        <v>199</v>
      </c>
      <c r="F54" s="64" t="s">
        <v>120</v>
      </c>
      <c r="G54" s="106" t="s">
        <v>200</v>
      </c>
      <c r="H54" s="104" t="s">
        <v>173</v>
      </c>
      <c r="I54" s="64" t="s">
        <v>250</v>
      </c>
      <c r="J54" s="109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8.600000000000001" thickBot="1" x14ac:dyDescent="0.35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33" t="s">
        <v>257</v>
      </c>
      <c r="N55" s="134"/>
      <c r="O55" s="134"/>
      <c r="P55" s="75">
        <f>SUM(P10:P54)</f>
        <v>241.56279999999998</v>
      </c>
      <c r="Q55" s="66"/>
      <c r="R55" s="67"/>
    </row>
    <row r="56" spans="1:18" ht="18.600000000000001" thickBot="1" x14ac:dyDescent="0.35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33" t="s">
        <v>258</v>
      </c>
      <c r="N56" s="134"/>
      <c r="O56" s="134"/>
      <c r="P56" s="74">
        <f>P55/5</f>
        <v>48.312559999999998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 xr:uid="{00000000-0004-0000-0000-000000000000}"/>
    <hyperlink ref="N11" r:id="rId2" xr:uid="{00000000-0004-0000-0000-000001000000}"/>
    <hyperlink ref="N14" r:id="rId3" xr:uid="{00000000-0004-0000-0000-000003000000}"/>
    <hyperlink ref="N13" r:id="rId4" xr:uid="{00000000-0004-0000-0000-000004000000}"/>
    <hyperlink ref="N15" r:id="rId5" xr:uid="{00000000-0004-0000-0000-000005000000}"/>
    <hyperlink ref="N16" r:id="rId6" xr:uid="{00000000-0004-0000-0000-000006000000}"/>
    <hyperlink ref="N18" r:id="rId7" xr:uid="{00000000-0004-0000-0000-000007000000}"/>
    <hyperlink ref="N19" r:id="rId8" xr:uid="{00000000-0004-0000-0000-000008000000}"/>
    <hyperlink ref="N20" r:id="rId9" xr:uid="{00000000-0004-0000-0000-000009000000}"/>
    <hyperlink ref="N21" r:id="rId10" xr:uid="{00000000-0004-0000-0000-00000A000000}"/>
    <hyperlink ref="N22" r:id="rId11" xr:uid="{00000000-0004-0000-0000-00000B000000}"/>
    <hyperlink ref="N23" r:id="rId12" xr:uid="{00000000-0004-0000-0000-00000C000000}"/>
    <hyperlink ref="N25" r:id="rId13" xr:uid="{00000000-0004-0000-0000-00000D000000}"/>
    <hyperlink ref="N28" r:id="rId14" xr:uid="{00000000-0004-0000-0000-00000E000000}"/>
    <hyperlink ref="N29" r:id="rId15" xr:uid="{00000000-0004-0000-0000-00000F000000}"/>
    <hyperlink ref="N32" r:id="rId16" xr:uid="{00000000-0004-0000-0000-000010000000}"/>
    <hyperlink ref="N30" r:id="rId17" xr:uid="{00000000-0004-0000-0000-000011000000}"/>
    <hyperlink ref="N31" r:id="rId18" xr:uid="{00000000-0004-0000-0000-000012000000}"/>
    <hyperlink ref="N33" r:id="rId19" xr:uid="{00000000-0004-0000-0000-000013000000}"/>
    <hyperlink ref="N34" r:id="rId20" xr:uid="{00000000-0004-0000-0000-000014000000}"/>
    <hyperlink ref="N37" r:id="rId21" xr:uid="{00000000-0004-0000-0000-000015000000}"/>
    <hyperlink ref="N41" r:id="rId22" xr:uid="{00000000-0004-0000-0000-000016000000}"/>
    <hyperlink ref="N38" r:id="rId23" xr:uid="{00000000-0004-0000-0000-000017000000}"/>
    <hyperlink ref="N39" r:id="rId24" xr:uid="{00000000-0004-0000-0000-000018000000}"/>
    <hyperlink ref="N40" r:id="rId25" xr:uid="{00000000-0004-0000-0000-000019000000}"/>
    <hyperlink ref="N43" r:id="rId26" xr:uid="{00000000-0004-0000-0000-00001A000000}"/>
    <hyperlink ref="N45" r:id="rId27" xr:uid="{00000000-0004-0000-0000-00001B000000}"/>
    <hyperlink ref="N47" r:id="rId28" display="LCSC" xr:uid="{00000000-0004-0000-0000-00001C000000}"/>
    <hyperlink ref="N49" r:id="rId29" xr:uid="{00000000-0004-0000-0000-00001D000000}"/>
    <hyperlink ref="N50" r:id="rId30" xr:uid="{00000000-0004-0000-0000-00001E000000}"/>
    <hyperlink ref="N51" r:id="rId31" xr:uid="{00000000-0004-0000-0000-00001F000000}"/>
    <hyperlink ref="N52" r:id="rId32" xr:uid="{00000000-0004-0000-0000-000020000000}"/>
    <hyperlink ref="N53" r:id="rId33" xr:uid="{00000000-0004-0000-0000-000021000000}"/>
    <hyperlink ref="N54" r:id="rId34" xr:uid="{00000000-0004-0000-0000-000022000000}"/>
    <hyperlink ref="N36" r:id="rId35" xr:uid="{00000000-0004-0000-0000-000023000000}"/>
    <hyperlink ref="N24" r:id="rId36" xr:uid="{00000000-0004-0000-0000-000024000000}"/>
    <hyperlink ref="N26" r:id="rId37" xr:uid="{00000000-0004-0000-0000-000025000000}"/>
    <hyperlink ref="N35" r:id="rId38" xr:uid="{00000000-0004-0000-0000-000026000000}"/>
    <hyperlink ref="N17" r:id="rId39" xr:uid="{00000000-0004-0000-0000-000027000000}"/>
    <hyperlink ref="N12" r:id="rId40" xr:uid="{00000000-0004-0000-0000-000002000000}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 Ur Rahman</cp:lastModifiedBy>
  <dcterms:created xsi:type="dcterms:W3CDTF">2019-12-12T10:34:26Z</dcterms:created>
  <dcterms:modified xsi:type="dcterms:W3CDTF">2022-07-05T20:31:07Z</dcterms:modified>
</cp:coreProperties>
</file>