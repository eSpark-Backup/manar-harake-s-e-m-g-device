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A1E92F0D-5710-482F-A02C-BC10C1C0C6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P19" i="1"/>
  <c r="P11" i="1"/>
  <c r="P12" i="1"/>
  <c r="P13" i="1"/>
  <c r="P14" i="1"/>
  <c r="P15" i="1"/>
  <c r="P16" i="1"/>
  <c r="P17" i="1"/>
  <c r="P18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4" i="1"/>
  <c r="P45" i="1"/>
  <c r="P46" i="1"/>
  <c r="P47" i="1"/>
  <c r="P48" i="1"/>
  <c r="P49" i="1"/>
  <c r="P50" i="1"/>
  <c r="P51" i="1"/>
  <c r="P52" i="1"/>
  <c r="P53" i="1"/>
  <c r="P54" i="1"/>
  <c r="P55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10" i="1"/>
  <c r="P56" i="1" l="1"/>
  <c r="P57" i="1" s="1"/>
  <c r="B10" i="1"/>
</calcChain>
</file>

<file path=xl/sharedStrings.xml><?xml version="1.0" encoding="utf-8"?>
<sst xmlns="http://schemas.openxmlformats.org/spreadsheetml/2006/main" count="449" uniqueCount="296">
  <si>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</si>
  <si>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</si>
  <si>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</si>
  <si>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</si>
  <si>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</si>
  <si>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</si>
  <si>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</si>
  <si>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</si>
  <si>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</si>
  <si>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</si>
  <si>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</si>
  <si>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</si>
  <si>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</si>
  <si>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</si>
  <si>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</si>
  <si>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</si>
  <si>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</si>
  <si>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</si>
  <si>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</si>
  <si>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</si>
  <si>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</si>
  <si>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</si>
  <si>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</si>
  <si>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</si>
  <si>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</si>
  <si>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</si>
  <si>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</si>
  <si>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</si>
  <si>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</si>
  <si>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</si>
  <si>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</si>
  <si>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</si>
  <si>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</si>
  <si>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</si>
  <si>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</si>
  <si>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</si>
  <si>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</si>
  <si>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</si>
  <si>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</si>
  <si>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</si>
  <si>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</si>
  <si>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</si>
  <si>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</si>
  <si>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</si>
  <si>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</si>
  <si>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</si>
  <si>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</si>
  <si>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</si>
  <si>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</si>
  <si>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</si>
  <si>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</si>
  <si>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</si>
  <si>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</si>
  <si>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</si>
  <si>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</si>
  <si>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</si>
  <si>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</si>
  <si>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</si>
  <si>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</si>
  <si>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</si>
  <si>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</si>
  <si>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</si>
  <si>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</si>
  <si>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</si>
  <si>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</si>
  <si>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</si>
  <si>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</si>
  <si>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</si>
  <si>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</si>
  <si>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</si>
  <si>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</si>
  <si>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</si>
  <si>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</si>
  <si>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</si>
  <si>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</si>
  <si>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</si>
  <si>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</si>
  <si>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</si>
  <si>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</si>
  <si>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</si>
  <si>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</si>
  <si>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</si>
  <si>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</si>
  <si>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</si>
  <si>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</si>
  <si>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</si>
  <si>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</si>
  <si>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</si>
  <si>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</si>
  <si>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</si>
  <si>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</si>
  <si>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</si>
  <si>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</si>
  <si>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</si>
  <si>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</si>
  <si>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</si>
  <si>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</si>
  <si>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</si>
  <si>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</si>
  <si>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</si>
  <si>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</si>
  <si>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</si>
  <si>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</si>
  <si>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</si>
  <si>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</si>
  <si>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</si>
  <si>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</si>
  <si>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</si>
  <si>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</si>
  <si>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</si>
  <si>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</si>
  <si>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</si>
  <si>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</si>
  <si>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</si>
  <si>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</si>
  <si>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</si>
  <si>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</si>
  <si>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</si>
  <si>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</si>
  <si>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</si>
  <si>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</si>
  <si>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</si>
  <si>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</si>
  <si>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</si>
  <si>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</si>
  <si>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</si>
  <si>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</si>
  <si>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</si>
  <si>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</si>
  <si>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</si>
  <si>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</si>
  <si>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</si>
  <si>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</si>
  <si>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</si>
  <si>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</si>
  <si>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</si>
  <si>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</si>
  <si>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</si>
  <si>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</si>
  <si>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</si>
  <si>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</si>
  <si>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</si>
  <si>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</si>
  <si>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</si>
  <si>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</si>
  <si>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</si>
  <si>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</si>
  <si>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FRC0402J1R0 TS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</si>
  <si>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</si>
  <si>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</si>
  <si>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</si>
  <si>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</si>
  <si>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</si>
  <si>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</si>
  <si>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</si>
  <si>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</si>
  <si>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</si>
  <si>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</si>
  <si>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</si>
  <si>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</si>
  <si>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</si>
  <si>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</si>
  <si>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</si>
  <si>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</si>
  <si>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</si>
  <si>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</si>
  <si>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</si>
  <si>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</si>
  <si>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</si>
  <si>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</si>
  <si>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</si>
  <si>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</si>
  <si>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</si>
  <si>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</si>
  <si>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</si>
  <si>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</si>
  <si>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</si>
  <si>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</si>
  <si>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</si>
  <si>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</si>
  <si>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</si>
  <si>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</si>
  <si>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</si>
  <si>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</si>
  <si>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</si>
  <si>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</si>
  <si>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</si>
  <si>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</si>
  <si>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</si>
  <si>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</si>
  <si>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</si>
  <si>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</si>
  <si>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</si>
  <si>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</si>
  <si>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</si>
  <si>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</si>
  <si>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</si>
  <si>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</si>
  <si>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</si>
  <si>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</si>
  <si>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</si>
  <si>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</si>
  <si>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</si>
  <si>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</si>
  <si>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</si>
  <si>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</si>
  <si>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</si>
  <si>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</si>
  <si>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</si>
  <si>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</si>
  <si>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</si>
  <si>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</si>
  <si>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</si>
  <si>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</si>
  <si>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</si>
  <si>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</si>
  <si>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</si>
  <si>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</si>
  <si>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</si>
  <si>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</si>
  <si>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</si>
  <si>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</si>
  <si>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</si>
  <si>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</si>
  <si>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</si>
  <si>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</si>
  <si>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</si>
  <si>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</si>
  <si>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</si>
  <si>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</si>
  <si>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</si>
  <si>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</si>
  <si>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</si>
  <si>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</si>
  <si>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</si>
  <si>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</si>
  <si>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</si>
  <si>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</si>
  <si>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</si>
  <si>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</si>
  <si>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</si>
  <si>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</si>
  <si>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</si>
  <si>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</si>
  <si>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</si>
  <si>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</si>
  <si>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</si>
  <si>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</si>
  <si>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</si>
  <si>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</si>
  <si>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</si>
  <si>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</si>
  <si>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</si>
  <si>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</si>
  <si>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</si>
  <si>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</si>
  <si>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</si>
  <si>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</si>
  <si>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</si>
  <si>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</si>
  <si>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</si>
  <si>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</si>
  <si>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</si>
  <si>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</si>
  <si>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</si>
  <si>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</si>
  <si>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</si>
  <si>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</si>
  <si>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</si>
  <si>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</si>
  <si>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</si>
  <si>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</si>
  <si>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</si>
  <si>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</si>
  <si>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</si>
  <si>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Alibaba</t>
  </si>
  <si>
    <t>-------</t>
  </si>
  <si>
    <t>------</t>
  </si>
  <si>
    <t xml:space="preserve">Total Component Cost </t>
  </si>
  <si>
    <t>Single Board Cost</t>
  </si>
  <si>
    <t>Total Cost/5 Boards</t>
  </si>
  <si>
    <t>Custom Supplier Quotation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</si>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</sst>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5" xfId="0" quotePrefix="1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4" borderId="1" xfId="0" quotePrefix="1" applyFont="1" applyFill="1" applyBorder="1" applyAlignment="1">
      <alignment horizontal="center" vertical="center" wrapText="1"/>
    </xf>
    <xf numFmtId="0" fontId="19" fillId="4" borderId="23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4" borderId="28" xfId="0" quotePrefix="1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6" xfId="0" quotePrefix="1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www.lcsc.com/product-detail/Power-Inductors_Chilisin-Elec-LVC505040-6R8M-N_C285870.html" TargetMode="External"/><Relationship Id="rId26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9" Type="http://schemas.openxmlformats.org/officeDocument/2006/relationships/hyperlink" Target="https://www.alibaba.com/product-detail/IN-STOCK-2-1A-1-OR_1600513640418.html?spm=a2700.galleryofferlist.normal_offer.d_title.30aa4451BILHds" TargetMode="External"/><Relationship Id="rId21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34" Type="http://schemas.openxmlformats.org/officeDocument/2006/relationships/hyperlink" Target="https://lcsc.com/product-detail/Linear-Voltage-Regulators-LDO_AnaSem-VRD2828PTX_C697937.html" TargetMode="External"/><Relationship Id="rId42" Type="http://schemas.openxmlformats.org/officeDocument/2006/relationships/hyperlink" Target="https://www.alibaba.com/product-detail/FIXED-IND-2-2UH-1-5A_62016603062.html?spm=a2700.galleryofferlist.normal_offer.d_title.cd542bdaWNEjI8" TargetMode="External"/><Relationship Id="rId47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microgate-MGFL2012F100MT-LF_C281113.html" TargetMode="External"/><Relationship Id="rId29" Type="http://schemas.openxmlformats.org/officeDocument/2006/relationships/hyperlink" Target="https://lcsc.com/product-detail/Tactile-Switches_XKB-Connectivity-TS-1185EC-C-D-B_C318893.html" TargetMode="External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Resistor-Surface-Mount_FOJAN-FRC0402J1R0-TS_C2906901.html" TargetMode="External"/><Relationship Id="rId32" Type="http://schemas.openxmlformats.org/officeDocument/2006/relationships/hyperlink" Target="https://lcsc.com/product-detail/RF-Transceiver-ICs_Nordic-Semicon-nRF52810-QCAA-R_C519278.html" TargetMode="External"/><Relationship Id="rId37" Type="http://schemas.openxmlformats.org/officeDocument/2006/relationships/hyperlink" Target="https://lcsc.com/product-detail/Crystals_HCI-XC32M4-32-000-F12NLDT_C2905357.html" TargetMode="External"/><Relationship Id="rId40" Type="http://schemas.openxmlformats.org/officeDocument/2006/relationships/hyperlink" Target="https://www.alibaba.com/product-detail/Fdc6330l-Fdc6330lfdc6330l-FDC6330L-IC-PWR-SWITCH_1600174835201.html?spm=a2700.galleryofferlist.normal_offer.d_title.345b43d7DL4mxC&amp;s=p" TargetMode="External"/><Relationship Id="rId45" Type="http://schemas.openxmlformats.org/officeDocument/2006/relationships/hyperlink" Target="https://lcsc.com/product-detail/Chip-Resistor-Surface-Mount_UNI-ROYAL-Uniroyal-Elec-0805W8F250MT5E_C620515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TDK-NLCV25T-100K-EFRD_C295388.html" TargetMode="External"/><Relationship Id="rId23" Type="http://schemas.openxmlformats.org/officeDocument/2006/relationships/hyperlink" Target="https://lcsc.com/product-detail/Chip-Resistor-Surface-Mount_YAGEO-RC0402FR-0710KL_C60490.html" TargetMode="External"/><Relationship Id="rId28" Type="http://schemas.openxmlformats.org/officeDocument/2006/relationships/hyperlink" Target="https://lcsc.com/product-detail/Chip-span-style-background-color-ff0-Resistor-span-Surface-Mount_TyoHM-RMC06035-1K1-N_C269716.html" TargetMode="External"/><Relationship Id="rId36" Type="http://schemas.openxmlformats.org/officeDocument/2006/relationships/hyperlink" Target="https://lcsc.com/product-detail/Crystals_Yangxing-Tech-X322516MOB4SI_C12668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Inductors-SMD_Murata-Electronics-LQW18AN3N9C10D_C521237.html" TargetMode="External"/><Relationship Id="rId31" Type="http://schemas.openxmlformats.org/officeDocument/2006/relationships/hyperlink" Target="https://lcsc.com/product-detail/DC-DC-Converters_Texas-Instruments-TPS62162DSGR_C40256.html" TargetMode="External"/><Relationship Id="rId44" Type="http://schemas.openxmlformats.org/officeDocument/2006/relationships/hyperlink" Target="https://lcsc.com/product-detail/span-style-background-color-ff0-Pin-span-Headers_DEALON-DZ254R-11-04-63_C2935910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27" Type="http://schemas.openxmlformats.org/officeDocument/2006/relationships/hyperlink" Target="https://lcsc.com/product-detail/Chip-span-style-background-color-ff0-Resistor-span-Surface-Mount_YAGEO-AC0402JR-074K7L_C144709.html" TargetMode="External"/><Relationship Id="rId30" Type="http://schemas.openxmlformats.org/officeDocument/2006/relationships/hyperlink" Target="https://lcsc.com/product-detail/Monitors-Reset-Circuits_Maxim-Integrated-MAX809SEUR-T_C7270.html" TargetMode="External"/><Relationship Id="rId35" Type="http://schemas.openxmlformats.org/officeDocument/2006/relationships/hyperlink" Target="https://lcsc.com/product-detail/Crystals_Yangxing-Tech-X321532768KGD2SI_C620155.html" TargetMode="External"/><Relationship Id="rId43" Type="http://schemas.openxmlformats.org/officeDocument/2006/relationships/hyperlink" Target="https://lcsc.com/product-detail/span-style-background-color-ff0-Pin-span-Headers_DEALON-DZ254R-11-08-63_C2935914.html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lcsc.com/product-detail/Inductors-SMD_Sunltech-Tech-SCW1608C15NJST_C231879.html" TargetMode="External"/><Relationship Id="rId25" Type="http://schemas.openxmlformats.org/officeDocument/2006/relationships/hyperlink" Target="https://lcsc.com/product-detail/Chip-Resistor-Surface-Mount_YAGEO-AC0402DR-0710K7L_C226678.html" TargetMode="External"/><Relationship Id="rId33" Type="http://schemas.openxmlformats.org/officeDocument/2006/relationships/hyperlink" Target="https://lcsc.com/product-detail/Motion-Sensors-Accelerometers_STMicroelectronics-LSM6DSRTR_C784817.html" TargetMode="External"/><Relationship Id="rId38" Type="http://schemas.openxmlformats.org/officeDocument/2006/relationships/hyperlink" Target="https://lcsc.com/product-detail/Chip-Resistor-Surface-Mount_YAGEO-RC0402JR-071KL_C105637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lcsc.com/product-detail/Ferrite-Beads_Murata-Electronics-BLM18PG300SN1D_C17305.html" TargetMode="External"/><Relationship Id="rId41" Type="http://schemas.openxmlformats.org/officeDocument/2006/relationships/hyperlink" Target="https://www.alibaba.com/product-detail/Hot-selling-ATSAM4S8BA-MU-with-low_1600452623285.html?spm=a2700.galleryofferlist.normal_offer.d_title.7b3b56adEpsIJ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7"/>
  <sheetViews>
    <sheetView tabSelected="1" topLeftCell="A31" zoomScale="85" zoomScaleNormal="85" workbookViewId="0">
      <selection activeCell="C55" sqref="C55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12"/>
      <c r="K1" s="113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08"/>
      <c r="K2" s="108"/>
      <c r="L2" s="108"/>
      <c r="M2" s="108"/>
      <c r="N2" s="108"/>
      <c r="O2" s="108"/>
      <c r="P2" s="108"/>
      <c r="Q2" s="108"/>
      <c r="R2" s="109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6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07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07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07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7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7"/>
    </row>
    <row r="9" spans="1:18" ht="15.75" thickBot="1" x14ac:dyDescent="0.3">
      <c r="A9" s="1"/>
      <c r="B9" s="81" t="s">
        <v>4</v>
      </c>
      <c r="C9" s="32" t="s">
        <v>10</v>
      </c>
      <c r="D9" s="33" t="s">
        <v>57</v>
      </c>
      <c r="E9" s="32" t="s">
        <v>99</v>
      </c>
      <c r="F9" s="32" t="s">
        <v>132</v>
      </c>
      <c r="G9" s="33" t="s">
        <v>217</v>
      </c>
      <c r="H9" s="32" t="s">
        <v>160</v>
      </c>
      <c r="I9" s="33" t="s">
        <v>218</v>
      </c>
      <c r="J9" s="32" t="s">
        <v>188</v>
      </c>
      <c r="K9" s="82" t="s">
        <v>220</v>
      </c>
      <c r="L9" s="32" t="s">
        <v>295</v>
      </c>
      <c r="M9" s="32" t="s">
        <v>221</v>
      </c>
      <c r="N9" s="32" t="s">
        <v>222</v>
      </c>
      <c r="O9" s="32" t="s">
        <v>223</v>
      </c>
      <c r="P9" s="32" t="s">
        <v>280</v>
      </c>
      <c r="Q9" s="32" t="s">
        <v>273</v>
      </c>
      <c r="R9" s="32" t="s">
        <v>274</v>
      </c>
    </row>
    <row r="10" spans="1:18" ht="38.25" x14ac:dyDescent="0.25">
      <c r="A10" s="1"/>
      <c r="B10" s="83">
        <f>ROW(B10) - ROW($B$9)</f>
        <v>1</v>
      </c>
      <c r="C10" s="51" t="s">
        <v>11</v>
      </c>
      <c r="D10" s="60" t="s">
        <v>58</v>
      </c>
      <c r="E10" s="51" t="s">
        <v>100</v>
      </c>
      <c r="F10" s="51" t="s">
        <v>133</v>
      </c>
      <c r="G10" s="65" t="s">
        <v>215</v>
      </c>
      <c r="H10" s="51" t="s">
        <v>161</v>
      </c>
      <c r="I10" s="60" t="s">
        <v>219</v>
      </c>
      <c r="J10" s="51" t="s">
        <v>189</v>
      </c>
      <c r="K10" s="54">
        <v>3</v>
      </c>
      <c r="L10" s="41">
        <f>K10*5</f>
        <v>15</v>
      </c>
      <c r="M10" s="41">
        <v>20</v>
      </c>
      <c r="N10" s="74" t="s">
        <v>224</v>
      </c>
      <c r="O10" s="42">
        <v>7.2800000000000004E-2</v>
      </c>
      <c r="P10" s="42">
        <f>O10*M10</f>
        <v>1.456</v>
      </c>
      <c r="Q10" s="42"/>
      <c r="R10" s="42"/>
    </row>
    <row r="11" spans="1:18" ht="38.25" x14ac:dyDescent="0.25">
      <c r="A11" s="1"/>
      <c r="B11" s="83">
        <f t="shared" ref="B11:B55" si="0">ROW(B11) - ROW($B$9)</f>
        <v>2</v>
      </c>
      <c r="C11" s="52" t="s">
        <v>12</v>
      </c>
      <c r="D11" s="61" t="s">
        <v>59</v>
      </c>
      <c r="E11" s="52" t="s">
        <v>101</v>
      </c>
      <c r="F11" s="68" t="s">
        <v>134</v>
      </c>
      <c r="G11" s="61" t="s">
        <v>225</v>
      </c>
      <c r="H11" s="52" t="s">
        <v>161</v>
      </c>
      <c r="I11" s="61" t="s">
        <v>226</v>
      </c>
      <c r="J11" s="52" t="s">
        <v>190</v>
      </c>
      <c r="K11" s="55">
        <v>24</v>
      </c>
      <c r="L11" s="31">
        <f t="shared" ref="L11:L55" si="1">K11*5</f>
        <v>120</v>
      </c>
      <c r="M11" s="31">
        <v>150</v>
      </c>
      <c r="N11" s="75" t="s">
        <v>224</v>
      </c>
      <c r="O11" s="35">
        <v>7.3000000000000001E-3</v>
      </c>
      <c r="P11" s="35">
        <f t="shared" ref="P11:P55" si="2">O11*M11</f>
        <v>1.095</v>
      </c>
      <c r="Q11" s="35"/>
      <c r="R11" s="35"/>
    </row>
    <row r="12" spans="1:18" x14ac:dyDescent="0.25">
      <c r="A12" s="1"/>
      <c r="B12" s="83">
        <f t="shared" si="0"/>
        <v>3</v>
      </c>
      <c r="C12" s="53" t="s">
        <v>13</v>
      </c>
      <c r="D12" s="62" t="s">
        <v>60</v>
      </c>
      <c r="E12" s="53" t="s">
        <v>102</v>
      </c>
      <c r="F12" s="53" t="s">
        <v>135</v>
      </c>
      <c r="G12" s="66" t="s">
        <v>215</v>
      </c>
      <c r="H12" s="53" t="s">
        <v>162</v>
      </c>
      <c r="I12" s="62" t="s">
        <v>227</v>
      </c>
      <c r="J12" s="53" t="s">
        <v>191</v>
      </c>
      <c r="K12" s="56">
        <v>1</v>
      </c>
      <c r="L12" s="30">
        <f t="shared" si="1"/>
        <v>5</v>
      </c>
      <c r="M12" s="30">
        <v>20</v>
      </c>
      <c r="N12" s="76" t="s">
        <v>224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83">
        <f t="shared" si="0"/>
        <v>4</v>
      </c>
      <c r="C13" s="52" t="s">
        <v>14</v>
      </c>
      <c r="D13" s="61" t="s">
        <v>61</v>
      </c>
      <c r="E13" s="52" t="s">
        <v>101</v>
      </c>
      <c r="F13" s="52" t="s">
        <v>136</v>
      </c>
      <c r="G13" s="63" t="s">
        <v>215</v>
      </c>
      <c r="H13" s="52" t="s">
        <v>163</v>
      </c>
      <c r="I13" s="61" t="s">
        <v>229</v>
      </c>
      <c r="J13" s="52" t="s">
        <v>192</v>
      </c>
      <c r="K13" s="55">
        <v>8</v>
      </c>
      <c r="L13" s="31">
        <f t="shared" si="1"/>
        <v>40</v>
      </c>
      <c r="M13" s="31">
        <v>100</v>
      </c>
      <c r="N13" s="75" t="s">
        <v>224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83">
        <f t="shared" si="0"/>
        <v>5</v>
      </c>
      <c r="C14" s="53" t="s">
        <v>15</v>
      </c>
      <c r="D14" s="62" t="s">
        <v>62</v>
      </c>
      <c r="E14" s="53" t="s">
        <v>101</v>
      </c>
      <c r="F14" s="53" t="s">
        <v>137</v>
      </c>
      <c r="G14" s="66" t="s">
        <v>215</v>
      </c>
      <c r="H14" s="53" t="s">
        <v>164</v>
      </c>
      <c r="I14" s="62" t="s">
        <v>228</v>
      </c>
      <c r="J14" s="53" t="s">
        <v>193</v>
      </c>
      <c r="K14" s="56">
        <v>3</v>
      </c>
      <c r="L14" s="30">
        <f t="shared" si="1"/>
        <v>15</v>
      </c>
      <c r="M14" s="30">
        <v>50</v>
      </c>
      <c r="N14" s="77" t="s">
        <v>224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83">
        <f t="shared" si="0"/>
        <v>6</v>
      </c>
      <c r="C15" s="52" t="s">
        <v>16</v>
      </c>
      <c r="D15" s="61" t="s">
        <v>63</v>
      </c>
      <c r="E15" s="52" t="s">
        <v>101</v>
      </c>
      <c r="F15" s="52" t="s">
        <v>138</v>
      </c>
      <c r="G15" s="63" t="s">
        <v>215</v>
      </c>
      <c r="H15" s="52" t="s">
        <v>163</v>
      </c>
      <c r="I15" s="61" t="s">
        <v>230</v>
      </c>
      <c r="J15" s="52" t="s">
        <v>194</v>
      </c>
      <c r="K15" s="55">
        <v>8</v>
      </c>
      <c r="L15" s="31">
        <f t="shared" si="1"/>
        <v>40</v>
      </c>
      <c r="M15" s="31">
        <v>50</v>
      </c>
      <c r="N15" s="75" t="s">
        <v>224</v>
      </c>
      <c r="O15" s="35">
        <v>6.4000000000000003E-3</v>
      </c>
      <c r="P15" s="35">
        <f t="shared" si="2"/>
        <v>0.32</v>
      </c>
      <c r="Q15" s="35"/>
      <c r="R15" s="35"/>
    </row>
    <row r="16" spans="1:18" x14ac:dyDescent="0.25">
      <c r="A16" s="1"/>
      <c r="B16" s="83">
        <f t="shared" si="0"/>
        <v>7</v>
      </c>
      <c r="C16" s="53" t="s">
        <v>17</v>
      </c>
      <c r="D16" s="62" t="s">
        <v>64</v>
      </c>
      <c r="E16" s="53" t="s">
        <v>101</v>
      </c>
      <c r="F16" s="53" t="s">
        <v>139</v>
      </c>
      <c r="G16" s="66" t="s">
        <v>215</v>
      </c>
      <c r="H16" s="53" t="s">
        <v>161</v>
      </c>
      <c r="I16" s="62" t="s">
        <v>231</v>
      </c>
      <c r="J16" s="53" t="s">
        <v>195</v>
      </c>
      <c r="K16" s="56">
        <v>1</v>
      </c>
      <c r="L16" s="30">
        <f t="shared" si="1"/>
        <v>5</v>
      </c>
      <c r="M16" s="36">
        <v>10</v>
      </c>
      <c r="N16" s="77" t="s">
        <v>224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83">
        <f t="shared" si="0"/>
        <v>8</v>
      </c>
      <c r="C17" s="52" t="s">
        <v>18</v>
      </c>
      <c r="D17" s="61" t="s">
        <v>233</v>
      </c>
      <c r="E17" s="52" t="s">
        <v>101</v>
      </c>
      <c r="F17" s="52" t="s">
        <v>234</v>
      </c>
      <c r="G17" s="63" t="s">
        <v>215</v>
      </c>
      <c r="H17" s="52" t="s">
        <v>163</v>
      </c>
      <c r="I17" s="61" t="s">
        <v>232</v>
      </c>
      <c r="J17" s="52" t="s">
        <v>196</v>
      </c>
      <c r="K17" s="55">
        <v>2</v>
      </c>
      <c r="L17" s="31">
        <f t="shared" si="1"/>
        <v>10</v>
      </c>
      <c r="M17" s="31">
        <v>100</v>
      </c>
      <c r="N17" s="75" t="s">
        <v>224</v>
      </c>
      <c r="O17" s="35">
        <v>1.6000000000000001E-3</v>
      </c>
      <c r="P17" s="35">
        <f t="shared" si="2"/>
        <v>0.16</v>
      </c>
      <c r="Q17" s="35"/>
      <c r="R17" s="35"/>
    </row>
    <row r="18" spans="1:18" x14ac:dyDescent="0.25">
      <c r="A18" s="1"/>
      <c r="B18" s="83">
        <f t="shared" si="0"/>
        <v>9</v>
      </c>
      <c r="C18" s="53" t="s">
        <v>19</v>
      </c>
      <c r="D18" s="62" t="s">
        <v>65</v>
      </c>
      <c r="E18" s="53" t="s">
        <v>101</v>
      </c>
      <c r="F18" s="53" t="s">
        <v>140</v>
      </c>
      <c r="G18" s="66" t="s">
        <v>215</v>
      </c>
      <c r="H18" s="53" t="s">
        <v>161</v>
      </c>
      <c r="I18" s="62" t="s">
        <v>235</v>
      </c>
      <c r="J18" s="53" t="s">
        <v>197</v>
      </c>
      <c r="K18" s="56">
        <v>1</v>
      </c>
      <c r="L18" s="30">
        <f t="shared" si="1"/>
        <v>5</v>
      </c>
      <c r="M18" s="30">
        <v>20</v>
      </c>
      <c r="N18" s="76" t="s">
        <v>224</v>
      </c>
      <c r="O18" s="34">
        <v>3.0300000000000001E-2</v>
      </c>
      <c r="P18" s="34">
        <f t="shared" si="2"/>
        <v>0.60599999999999998</v>
      </c>
      <c r="Q18" s="34"/>
      <c r="R18" s="34"/>
    </row>
    <row r="19" spans="1:18" x14ac:dyDescent="0.25">
      <c r="A19" s="1"/>
      <c r="B19" s="83">
        <f t="shared" si="0"/>
        <v>10</v>
      </c>
      <c r="C19" s="52" t="s">
        <v>20</v>
      </c>
      <c r="D19" s="61" t="s">
        <v>66</v>
      </c>
      <c r="E19" s="52" t="s">
        <v>214</v>
      </c>
      <c r="F19" s="52" t="s">
        <v>103</v>
      </c>
      <c r="G19" s="63" t="s">
        <v>215</v>
      </c>
      <c r="H19" s="52" t="s">
        <v>165</v>
      </c>
      <c r="I19" s="61" t="s">
        <v>236</v>
      </c>
      <c r="J19" s="58" t="s">
        <v>215</v>
      </c>
      <c r="K19" s="55">
        <v>1</v>
      </c>
      <c r="L19" s="31">
        <f t="shared" si="1"/>
        <v>5</v>
      </c>
      <c r="M19" s="31">
        <v>10</v>
      </c>
      <c r="N19" s="75" t="s">
        <v>224</v>
      </c>
      <c r="O19" s="35">
        <v>9.2899999999999996E-2</v>
      </c>
      <c r="P19" s="35">
        <f t="shared" si="2"/>
        <v>0.92899999999999994</v>
      </c>
      <c r="Q19" s="35"/>
      <c r="R19" s="35"/>
    </row>
    <row r="20" spans="1:18" x14ac:dyDescent="0.25">
      <c r="A20" s="1"/>
      <c r="B20" s="83">
        <f t="shared" si="0"/>
        <v>11</v>
      </c>
      <c r="C20" s="53" t="s">
        <v>21</v>
      </c>
      <c r="D20" s="62" t="s">
        <v>67</v>
      </c>
      <c r="E20" s="53" t="s">
        <v>214</v>
      </c>
      <c r="F20" s="53" t="s">
        <v>104</v>
      </c>
      <c r="G20" s="66" t="s">
        <v>215</v>
      </c>
      <c r="H20" s="53" t="s">
        <v>166</v>
      </c>
      <c r="I20" s="62" t="s">
        <v>237</v>
      </c>
      <c r="J20" s="59" t="s">
        <v>215</v>
      </c>
      <c r="K20" s="56">
        <v>1</v>
      </c>
      <c r="L20" s="30">
        <f t="shared" si="1"/>
        <v>5</v>
      </c>
      <c r="M20" s="30">
        <v>6</v>
      </c>
      <c r="N20" s="76" t="s">
        <v>224</v>
      </c>
      <c r="O20" s="34">
        <v>2.3371</v>
      </c>
      <c r="P20" s="34">
        <f t="shared" si="2"/>
        <v>14.022600000000001</v>
      </c>
      <c r="Q20" s="34"/>
      <c r="R20" s="34"/>
    </row>
    <row r="21" spans="1:18" x14ac:dyDescent="0.25">
      <c r="A21" s="1"/>
      <c r="B21" s="83">
        <f t="shared" si="0"/>
        <v>12</v>
      </c>
      <c r="C21" s="52" t="s">
        <v>22</v>
      </c>
      <c r="D21" s="61" t="s">
        <v>68</v>
      </c>
      <c r="E21" s="52" t="s">
        <v>214</v>
      </c>
      <c r="F21" s="52" t="s">
        <v>105</v>
      </c>
      <c r="G21" s="63" t="s">
        <v>215</v>
      </c>
      <c r="H21" s="52" t="s">
        <v>167</v>
      </c>
      <c r="I21" s="61" t="s">
        <v>238</v>
      </c>
      <c r="J21" s="58" t="s">
        <v>215</v>
      </c>
      <c r="K21" s="55">
        <v>1</v>
      </c>
      <c r="L21" s="31">
        <f t="shared" si="1"/>
        <v>5</v>
      </c>
      <c r="M21" s="31">
        <v>20</v>
      </c>
      <c r="N21" s="75" t="s">
        <v>224</v>
      </c>
      <c r="O21" s="35">
        <v>4.8399999999999999E-2</v>
      </c>
      <c r="P21" s="35">
        <f t="shared" si="2"/>
        <v>0.96799999999999997</v>
      </c>
      <c r="Q21" s="35"/>
      <c r="R21" s="35"/>
    </row>
    <row r="22" spans="1:18" ht="38.25" x14ac:dyDescent="0.25">
      <c r="A22" s="1"/>
      <c r="B22" s="83">
        <f t="shared" si="0"/>
        <v>13</v>
      </c>
      <c r="C22" s="53" t="s">
        <v>23</v>
      </c>
      <c r="D22" s="62" t="s">
        <v>69</v>
      </c>
      <c r="E22" s="53" t="s">
        <v>214</v>
      </c>
      <c r="F22" s="53" t="s">
        <v>106</v>
      </c>
      <c r="G22" s="66" t="s">
        <v>215</v>
      </c>
      <c r="H22" s="53" t="s">
        <v>168</v>
      </c>
      <c r="I22" s="62" t="s">
        <v>239</v>
      </c>
      <c r="J22" s="59" t="s">
        <v>215</v>
      </c>
      <c r="K22" s="56">
        <v>1</v>
      </c>
      <c r="L22" s="30">
        <f t="shared" si="1"/>
        <v>5</v>
      </c>
      <c r="M22" s="30">
        <v>6</v>
      </c>
      <c r="N22" s="76" t="s">
        <v>224</v>
      </c>
      <c r="O22" s="34">
        <v>0.18659999999999999</v>
      </c>
      <c r="P22" s="34">
        <f t="shared" si="2"/>
        <v>1.1195999999999999</v>
      </c>
      <c r="Q22" s="34"/>
      <c r="R22" s="34"/>
    </row>
    <row r="23" spans="1:18" x14ac:dyDescent="0.25">
      <c r="A23" s="1"/>
      <c r="B23" s="83">
        <f t="shared" si="0"/>
        <v>14</v>
      </c>
      <c r="C23" s="52" t="s">
        <v>24</v>
      </c>
      <c r="D23" s="52" t="s">
        <v>282</v>
      </c>
      <c r="E23" s="52" t="s">
        <v>107</v>
      </c>
      <c r="F23" s="58" t="s">
        <v>283</v>
      </c>
      <c r="G23" s="63" t="s">
        <v>215</v>
      </c>
      <c r="H23" s="52" t="s">
        <v>284</v>
      </c>
      <c r="I23" s="61" t="s">
        <v>287</v>
      </c>
      <c r="J23" s="58" t="s">
        <v>215</v>
      </c>
      <c r="K23" s="55">
        <v>1</v>
      </c>
      <c r="L23" s="31">
        <f t="shared" si="1"/>
        <v>5</v>
      </c>
      <c r="M23" s="31">
        <v>10</v>
      </c>
      <c r="N23" s="84" t="s">
        <v>224</v>
      </c>
      <c r="O23" s="35">
        <v>4.3099999999999999E-2</v>
      </c>
      <c r="P23" s="35">
        <f t="shared" si="2"/>
        <v>0.43099999999999999</v>
      </c>
      <c r="Q23" s="35"/>
      <c r="R23" s="35"/>
    </row>
    <row r="24" spans="1:18" x14ac:dyDescent="0.25">
      <c r="A24" s="1"/>
      <c r="B24" s="83">
        <f t="shared" si="0"/>
        <v>15</v>
      </c>
      <c r="C24" s="53" t="s">
        <v>25</v>
      </c>
      <c r="D24" s="62" t="s">
        <v>70</v>
      </c>
      <c r="E24" s="53" t="s">
        <v>214</v>
      </c>
      <c r="F24" s="53" t="s">
        <v>108</v>
      </c>
      <c r="G24" s="66" t="s">
        <v>277</v>
      </c>
      <c r="H24" s="53" t="s">
        <v>165</v>
      </c>
      <c r="I24" s="62" t="s">
        <v>240</v>
      </c>
      <c r="J24" s="59" t="s">
        <v>215</v>
      </c>
      <c r="K24" s="56">
        <v>1</v>
      </c>
      <c r="L24" s="30">
        <f t="shared" si="1"/>
        <v>5</v>
      </c>
      <c r="M24" s="30">
        <v>6</v>
      </c>
      <c r="N24" s="77" t="s">
        <v>224</v>
      </c>
      <c r="O24" s="37">
        <v>0.1832</v>
      </c>
      <c r="P24" s="34">
        <f t="shared" si="2"/>
        <v>1.0992</v>
      </c>
      <c r="Q24" s="34"/>
      <c r="R24" s="34"/>
    </row>
    <row r="25" spans="1:18" x14ac:dyDescent="0.25">
      <c r="A25" s="1"/>
      <c r="B25" s="83">
        <f t="shared" si="0"/>
        <v>16</v>
      </c>
      <c r="C25" s="52" t="s">
        <v>26</v>
      </c>
      <c r="D25" s="63" t="s">
        <v>285</v>
      </c>
      <c r="E25" s="52" t="s">
        <v>109</v>
      </c>
      <c r="F25" s="58" t="s">
        <v>286</v>
      </c>
      <c r="G25" s="63" t="s">
        <v>276</v>
      </c>
      <c r="H25" s="52" t="s">
        <v>284</v>
      </c>
      <c r="I25" s="61" t="s">
        <v>288</v>
      </c>
      <c r="J25" s="58" t="s">
        <v>215</v>
      </c>
      <c r="K25" s="55">
        <v>1</v>
      </c>
      <c r="L25" s="31">
        <f t="shared" si="1"/>
        <v>5</v>
      </c>
      <c r="M25" s="31">
        <v>20</v>
      </c>
      <c r="N25" s="84" t="s">
        <v>224</v>
      </c>
      <c r="O25" s="35">
        <v>2.29E-2</v>
      </c>
      <c r="P25" s="35">
        <f t="shared" si="2"/>
        <v>0.45800000000000002</v>
      </c>
      <c r="Q25" s="35"/>
      <c r="R25" s="35"/>
    </row>
    <row r="26" spans="1:18" x14ac:dyDescent="0.25">
      <c r="A26" s="1"/>
      <c r="B26" s="83">
        <f t="shared" si="0"/>
        <v>17</v>
      </c>
      <c r="C26" s="97" t="s">
        <v>27</v>
      </c>
      <c r="D26" s="98" t="s">
        <v>71</v>
      </c>
      <c r="E26" s="97" t="s">
        <v>214</v>
      </c>
      <c r="F26" s="97" t="s">
        <v>110</v>
      </c>
      <c r="G26" s="99" t="s">
        <v>276</v>
      </c>
      <c r="H26" s="97" t="s">
        <v>164</v>
      </c>
      <c r="I26" s="99" t="s">
        <v>276</v>
      </c>
      <c r="J26" s="97" t="s">
        <v>198</v>
      </c>
      <c r="K26" s="100">
        <v>1</v>
      </c>
      <c r="L26" s="101">
        <f t="shared" si="1"/>
        <v>5</v>
      </c>
      <c r="M26" s="101">
        <v>7</v>
      </c>
      <c r="N26" s="102" t="s">
        <v>275</v>
      </c>
      <c r="O26" s="103">
        <v>0.25</v>
      </c>
      <c r="P26" s="103">
        <f t="shared" si="2"/>
        <v>1.75</v>
      </c>
      <c r="Q26" s="104" t="s">
        <v>281</v>
      </c>
      <c r="R26" s="103"/>
    </row>
    <row r="27" spans="1:18" x14ac:dyDescent="0.25">
      <c r="A27" s="1"/>
      <c r="B27" s="83">
        <f t="shared" si="0"/>
        <v>18</v>
      </c>
      <c r="C27" s="52" t="s">
        <v>28</v>
      </c>
      <c r="D27" s="61" t="s">
        <v>72</v>
      </c>
      <c r="E27" s="52" t="s">
        <v>214</v>
      </c>
      <c r="F27" s="52" t="s">
        <v>111</v>
      </c>
      <c r="G27" s="63" t="s">
        <v>215</v>
      </c>
      <c r="H27" s="52" t="s">
        <v>169</v>
      </c>
      <c r="I27" s="61" t="s">
        <v>241</v>
      </c>
      <c r="J27" s="52" t="s">
        <v>199</v>
      </c>
      <c r="K27" s="55">
        <v>1</v>
      </c>
      <c r="L27" s="31">
        <f t="shared" si="1"/>
        <v>5</v>
      </c>
      <c r="M27" s="31">
        <v>7</v>
      </c>
      <c r="N27" s="75" t="s">
        <v>224</v>
      </c>
      <c r="O27" s="35">
        <v>0.1575</v>
      </c>
      <c r="P27" s="35">
        <f t="shared" si="2"/>
        <v>1.1025</v>
      </c>
      <c r="Q27" s="35"/>
      <c r="R27" s="35"/>
    </row>
    <row r="28" spans="1:18" ht="25.5" x14ac:dyDescent="0.25">
      <c r="A28" s="1"/>
      <c r="B28" s="83">
        <f t="shared" si="0"/>
        <v>19</v>
      </c>
      <c r="C28" s="53" t="s">
        <v>29</v>
      </c>
      <c r="D28" s="62" t="s">
        <v>73</v>
      </c>
      <c r="E28" s="53" t="s">
        <v>112</v>
      </c>
      <c r="F28" s="53" t="s">
        <v>141</v>
      </c>
      <c r="G28" s="66" t="s">
        <v>215</v>
      </c>
      <c r="H28" s="53" t="s">
        <v>170</v>
      </c>
      <c r="I28" s="62" t="s">
        <v>242</v>
      </c>
      <c r="J28" s="53" t="s">
        <v>199</v>
      </c>
      <c r="K28" s="56">
        <v>1</v>
      </c>
      <c r="L28" s="30">
        <f t="shared" si="1"/>
        <v>5</v>
      </c>
      <c r="M28" s="36">
        <v>10</v>
      </c>
      <c r="N28" s="77" t="s">
        <v>224</v>
      </c>
      <c r="O28" s="37">
        <v>4.5699999999999998E-2</v>
      </c>
      <c r="P28" s="34">
        <f t="shared" si="2"/>
        <v>0.45699999999999996</v>
      </c>
      <c r="Q28" s="34"/>
      <c r="R28" s="34"/>
    </row>
    <row r="29" spans="1:18" ht="25.5" x14ac:dyDescent="0.25">
      <c r="A29" s="1"/>
      <c r="B29" s="83">
        <f t="shared" si="0"/>
        <v>20</v>
      </c>
      <c r="C29" s="52" t="s">
        <v>30</v>
      </c>
      <c r="D29" s="61" t="s">
        <v>74</v>
      </c>
      <c r="E29" s="52" t="s">
        <v>214</v>
      </c>
      <c r="F29" s="52" t="s">
        <v>113</v>
      </c>
      <c r="G29" s="63" t="s">
        <v>215</v>
      </c>
      <c r="H29" s="52" t="s">
        <v>171</v>
      </c>
      <c r="I29" s="61" t="s">
        <v>243</v>
      </c>
      <c r="J29" s="52" t="s">
        <v>200</v>
      </c>
      <c r="K29" s="55">
        <v>1</v>
      </c>
      <c r="L29" s="31">
        <f t="shared" si="1"/>
        <v>5</v>
      </c>
      <c r="M29" s="31">
        <v>10</v>
      </c>
      <c r="N29" s="75" t="s">
        <v>224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83">
        <f t="shared" si="0"/>
        <v>21</v>
      </c>
      <c r="C30" s="53" t="s">
        <v>31</v>
      </c>
      <c r="D30" s="62" t="s">
        <v>75</v>
      </c>
      <c r="E30" s="53" t="s">
        <v>114</v>
      </c>
      <c r="F30" s="53" t="s">
        <v>142</v>
      </c>
      <c r="G30" s="66" t="s">
        <v>215</v>
      </c>
      <c r="H30" s="53" t="s">
        <v>161</v>
      </c>
      <c r="I30" s="62" t="s">
        <v>245</v>
      </c>
      <c r="J30" s="53" t="s">
        <v>201</v>
      </c>
      <c r="K30" s="56">
        <v>1</v>
      </c>
      <c r="L30" s="30">
        <f t="shared" si="1"/>
        <v>5</v>
      </c>
      <c r="M30" s="30">
        <v>10</v>
      </c>
      <c r="N30" s="76" t="s">
        <v>224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83">
        <f t="shared" si="0"/>
        <v>22</v>
      </c>
      <c r="C31" s="52" t="s">
        <v>32</v>
      </c>
      <c r="D31" s="61" t="s">
        <v>76</v>
      </c>
      <c r="E31" s="52" t="s">
        <v>114</v>
      </c>
      <c r="F31" s="52" t="s">
        <v>143</v>
      </c>
      <c r="G31" s="63" t="s">
        <v>215</v>
      </c>
      <c r="H31" s="52" t="s">
        <v>161</v>
      </c>
      <c r="I31" s="61" t="s">
        <v>246</v>
      </c>
      <c r="J31" s="58" t="s">
        <v>216</v>
      </c>
      <c r="K31" s="55">
        <v>1</v>
      </c>
      <c r="L31" s="31">
        <f t="shared" si="1"/>
        <v>5</v>
      </c>
      <c r="M31" s="31">
        <v>50</v>
      </c>
      <c r="N31" s="75" t="s">
        <v>224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83">
        <f t="shared" si="0"/>
        <v>23</v>
      </c>
      <c r="C32" s="53" t="s">
        <v>33</v>
      </c>
      <c r="D32" s="62" t="s">
        <v>77</v>
      </c>
      <c r="E32" s="53" t="s">
        <v>214</v>
      </c>
      <c r="F32" s="53" t="s">
        <v>115</v>
      </c>
      <c r="G32" s="62"/>
      <c r="H32" s="53" t="s">
        <v>172</v>
      </c>
      <c r="I32" s="62" t="s">
        <v>244</v>
      </c>
      <c r="J32" s="53" t="s">
        <v>202</v>
      </c>
      <c r="K32" s="56">
        <v>1</v>
      </c>
      <c r="L32" s="30">
        <f t="shared" si="1"/>
        <v>5</v>
      </c>
      <c r="M32" s="36">
        <v>10</v>
      </c>
      <c r="N32" s="77" t="s">
        <v>224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83">
        <f t="shared" si="0"/>
        <v>24</v>
      </c>
      <c r="C33" s="52" t="s">
        <v>34</v>
      </c>
      <c r="D33" s="61" t="s">
        <v>78</v>
      </c>
      <c r="E33" s="52" t="s">
        <v>116</v>
      </c>
      <c r="F33" s="68" t="s">
        <v>144</v>
      </c>
      <c r="G33" s="61" t="s">
        <v>247</v>
      </c>
      <c r="H33" s="52" t="s">
        <v>173</v>
      </c>
      <c r="I33" s="61" t="s">
        <v>248</v>
      </c>
      <c r="J33" s="58" t="s">
        <v>216</v>
      </c>
      <c r="K33" s="55">
        <v>2</v>
      </c>
      <c r="L33" s="31">
        <f t="shared" si="1"/>
        <v>10</v>
      </c>
      <c r="M33" s="31">
        <v>50</v>
      </c>
      <c r="N33" s="75" t="s">
        <v>224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83">
        <f t="shared" si="0"/>
        <v>25</v>
      </c>
      <c r="C34" s="53" t="s">
        <v>35</v>
      </c>
      <c r="D34" s="62" t="s">
        <v>79</v>
      </c>
      <c r="E34" s="53" t="s">
        <v>116</v>
      </c>
      <c r="F34" s="69" t="s">
        <v>145</v>
      </c>
      <c r="G34" s="62" t="s">
        <v>249</v>
      </c>
      <c r="H34" s="53" t="s">
        <v>173</v>
      </c>
      <c r="I34" s="62" t="s">
        <v>250</v>
      </c>
      <c r="J34" s="59" t="s">
        <v>216</v>
      </c>
      <c r="K34" s="56">
        <v>1</v>
      </c>
      <c r="L34" s="30">
        <f t="shared" si="1"/>
        <v>5</v>
      </c>
      <c r="M34" s="30">
        <v>10</v>
      </c>
      <c r="N34" s="76" t="s">
        <v>224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83">
        <f t="shared" si="0"/>
        <v>26</v>
      </c>
      <c r="C35" s="52" t="s">
        <v>36</v>
      </c>
      <c r="D35" s="85" t="s">
        <v>289</v>
      </c>
      <c r="E35" s="86" t="s">
        <v>290</v>
      </c>
      <c r="F35" s="86" t="s">
        <v>291</v>
      </c>
      <c r="G35" s="87" t="s">
        <v>215</v>
      </c>
      <c r="H35" s="86" t="s">
        <v>292</v>
      </c>
      <c r="I35" s="61" t="s">
        <v>293</v>
      </c>
      <c r="J35" s="52" t="s">
        <v>203</v>
      </c>
      <c r="K35" s="55">
        <v>1</v>
      </c>
      <c r="L35" s="31">
        <f t="shared" si="1"/>
        <v>5</v>
      </c>
      <c r="M35" s="31">
        <v>50</v>
      </c>
      <c r="N35" s="84" t="s">
        <v>224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83">
        <f t="shared" si="0"/>
        <v>27</v>
      </c>
      <c r="C36" s="53" t="s">
        <v>37</v>
      </c>
      <c r="D36" s="62" t="s">
        <v>271</v>
      </c>
      <c r="E36" s="53" t="s">
        <v>118</v>
      </c>
      <c r="F36" s="53" t="s">
        <v>270</v>
      </c>
      <c r="G36" s="66" t="s">
        <v>215</v>
      </c>
      <c r="H36" s="53" t="s">
        <v>163</v>
      </c>
      <c r="I36" s="62" t="s">
        <v>269</v>
      </c>
      <c r="J36" s="53" t="s">
        <v>204</v>
      </c>
      <c r="K36" s="56">
        <v>4</v>
      </c>
      <c r="L36" s="30">
        <f t="shared" si="1"/>
        <v>20</v>
      </c>
      <c r="M36" s="30">
        <v>100</v>
      </c>
      <c r="N36" s="76" t="s">
        <v>224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83">
        <f t="shared" si="0"/>
        <v>28</v>
      </c>
      <c r="C37" s="52" t="s">
        <v>38</v>
      </c>
      <c r="D37" s="61" t="s">
        <v>80</v>
      </c>
      <c r="E37" s="52" t="s">
        <v>118</v>
      </c>
      <c r="F37" s="52" t="s">
        <v>146</v>
      </c>
      <c r="G37" s="63" t="s">
        <v>215</v>
      </c>
      <c r="H37" s="52" t="s">
        <v>163</v>
      </c>
      <c r="I37" s="61" t="s">
        <v>251</v>
      </c>
      <c r="J37" s="52" t="s">
        <v>205</v>
      </c>
      <c r="K37" s="55">
        <v>10</v>
      </c>
      <c r="L37" s="31">
        <f t="shared" si="1"/>
        <v>50</v>
      </c>
      <c r="M37" s="31">
        <v>100</v>
      </c>
      <c r="N37" s="75" t="s">
        <v>224</v>
      </c>
      <c r="O37" s="35">
        <v>6.9999999999999999E-4</v>
      </c>
      <c r="P37" s="35">
        <f t="shared" si="2"/>
        <v>6.9999999999999993E-2</v>
      </c>
      <c r="Q37" s="35"/>
      <c r="R37" s="35"/>
    </row>
    <row r="38" spans="1:18" ht="38.25" x14ac:dyDescent="0.25">
      <c r="A38" s="1"/>
      <c r="B38" s="83">
        <f t="shared" si="0"/>
        <v>29</v>
      </c>
      <c r="C38" s="53" t="s">
        <v>39</v>
      </c>
      <c r="D38" s="62" t="s">
        <v>81</v>
      </c>
      <c r="E38" s="53" t="s">
        <v>118</v>
      </c>
      <c r="F38" s="53" t="s">
        <v>147</v>
      </c>
      <c r="G38" s="66" t="s">
        <v>215</v>
      </c>
      <c r="H38" s="53" t="s">
        <v>174</v>
      </c>
      <c r="I38" s="62" t="s">
        <v>252</v>
      </c>
      <c r="J38" s="53" t="s">
        <v>206</v>
      </c>
      <c r="K38" s="56">
        <v>1</v>
      </c>
      <c r="L38" s="30">
        <f t="shared" si="1"/>
        <v>5</v>
      </c>
      <c r="M38" s="30">
        <v>100</v>
      </c>
      <c r="N38" s="76" t="s">
        <v>224</v>
      </c>
      <c r="O38" s="34">
        <v>5.0000000000000001E-4</v>
      </c>
      <c r="P38" s="34">
        <f t="shared" si="2"/>
        <v>0.05</v>
      </c>
      <c r="Q38" s="34"/>
      <c r="R38" s="34"/>
    </row>
    <row r="39" spans="1:18" x14ac:dyDescent="0.25">
      <c r="A39" s="1"/>
      <c r="B39" s="83">
        <f t="shared" si="0"/>
        <v>30</v>
      </c>
      <c r="C39" s="52" t="s">
        <v>40</v>
      </c>
      <c r="D39" s="61" t="s">
        <v>82</v>
      </c>
      <c r="E39" s="52" t="s">
        <v>118</v>
      </c>
      <c r="F39" s="68" t="s">
        <v>148</v>
      </c>
      <c r="G39" s="61" t="s">
        <v>254</v>
      </c>
      <c r="H39" s="52" t="s">
        <v>175</v>
      </c>
      <c r="I39" s="61" t="s">
        <v>255</v>
      </c>
      <c r="J39" s="52" t="s">
        <v>207</v>
      </c>
      <c r="K39" s="55">
        <v>7</v>
      </c>
      <c r="L39" s="31">
        <f t="shared" si="1"/>
        <v>35</v>
      </c>
      <c r="M39" s="31">
        <v>100</v>
      </c>
      <c r="N39" s="75" t="s">
        <v>224</v>
      </c>
      <c r="O39" s="35">
        <v>5.9999999999999995E-4</v>
      </c>
      <c r="P39" s="35">
        <f t="shared" si="2"/>
        <v>0.06</v>
      </c>
      <c r="Q39" s="35"/>
      <c r="R39" s="35"/>
    </row>
    <row r="40" spans="1:18" x14ac:dyDescent="0.25">
      <c r="A40" s="1"/>
      <c r="B40" s="83">
        <f t="shared" si="0"/>
        <v>31</v>
      </c>
      <c r="C40" s="53" t="s">
        <v>41</v>
      </c>
      <c r="D40" s="62" t="s">
        <v>83</v>
      </c>
      <c r="E40" s="53" t="s">
        <v>118</v>
      </c>
      <c r="F40" s="69" t="s">
        <v>149</v>
      </c>
      <c r="G40" s="62" t="s">
        <v>256</v>
      </c>
      <c r="H40" s="53" t="s">
        <v>175</v>
      </c>
      <c r="I40" s="62" t="s">
        <v>257</v>
      </c>
      <c r="J40" s="53" t="s">
        <v>208</v>
      </c>
      <c r="K40" s="56">
        <v>2</v>
      </c>
      <c r="L40" s="30">
        <f t="shared" si="1"/>
        <v>10</v>
      </c>
      <c r="M40" s="30">
        <v>100</v>
      </c>
      <c r="N40" s="76" t="s">
        <v>224</v>
      </c>
      <c r="O40" s="34">
        <v>8.0000000000000004E-4</v>
      </c>
      <c r="P40" s="34">
        <f t="shared" si="2"/>
        <v>0.08</v>
      </c>
      <c r="Q40" s="34"/>
      <c r="R40" s="34"/>
    </row>
    <row r="41" spans="1:18" x14ac:dyDescent="0.25">
      <c r="A41" s="1"/>
      <c r="B41" s="83">
        <f t="shared" si="0"/>
        <v>32</v>
      </c>
      <c r="C41" s="52" t="s">
        <v>42</v>
      </c>
      <c r="D41" s="61" t="s">
        <v>84</v>
      </c>
      <c r="E41" s="52" t="s">
        <v>117</v>
      </c>
      <c r="F41" s="68" t="s">
        <v>150</v>
      </c>
      <c r="G41" s="61" t="s">
        <v>258</v>
      </c>
      <c r="H41" s="52" t="s">
        <v>176</v>
      </c>
      <c r="I41" s="61" t="s">
        <v>259</v>
      </c>
      <c r="J41" s="52" t="s">
        <v>209</v>
      </c>
      <c r="K41" s="55">
        <v>2</v>
      </c>
      <c r="L41" s="31">
        <f t="shared" si="1"/>
        <v>10</v>
      </c>
      <c r="M41" s="31">
        <v>100</v>
      </c>
      <c r="N41" s="75" t="s">
        <v>224</v>
      </c>
      <c r="O41" s="35">
        <v>3.5999999999999999E-3</v>
      </c>
      <c r="P41" s="35">
        <f t="shared" si="2"/>
        <v>0.36</v>
      </c>
      <c r="Q41" s="35"/>
      <c r="R41" s="35"/>
    </row>
    <row r="42" spans="1:18" x14ac:dyDescent="0.25">
      <c r="A42" s="1"/>
      <c r="B42" s="83">
        <f t="shared" si="0"/>
        <v>33</v>
      </c>
      <c r="C42" s="53" t="s">
        <v>43</v>
      </c>
      <c r="D42" s="62" t="s">
        <v>85</v>
      </c>
      <c r="E42" s="53" t="s">
        <v>118</v>
      </c>
      <c r="F42" s="53" t="s">
        <v>151</v>
      </c>
      <c r="G42" s="66" t="s">
        <v>215</v>
      </c>
      <c r="H42" s="53" t="s">
        <v>163</v>
      </c>
      <c r="I42" s="62" t="s">
        <v>253</v>
      </c>
      <c r="J42" s="53" t="s">
        <v>210</v>
      </c>
      <c r="K42" s="56">
        <v>1</v>
      </c>
      <c r="L42" s="30">
        <f t="shared" si="1"/>
        <v>5</v>
      </c>
      <c r="M42" s="30">
        <v>50</v>
      </c>
      <c r="N42" s="76" t="s">
        <v>224</v>
      </c>
      <c r="O42" s="34">
        <v>6.9999999999999999E-4</v>
      </c>
      <c r="P42" s="34">
        <f t="shared" si="2"/>
        <v>3.4999999999999996E-2</v>
      </c>
      <c r="Q42" s="34"/>
      <c r="R42" s="34"/>
    </row>
    <row r="43" spans="1:18" x14ac:dyDescent="0.25">
      <c r="A43" s="1"/>
      <c r="B43" s="83">
        <f t="shared" si="0"/>
        <v>34</v>
      </c>
      <c r="C43" s="52" t="s">
        <v>44</v>
      </c>
      <c r="D43" s="61" t="s">
        <v>86</v>
      </c>
      <c r="E43" s="52" t="s">
        <v>119</v>
      </c>
      <c r="F43" s="58" t="s">
        <v>216</v>
      </c>
      <c r="G43" s="63"/>
      <c r="H43" s="58" t="s">
        <v>216</v>
      </c>
      <c r="I43" s="63" t="s">
        <v>272</v>
      </c>
      <c r="J43" s="58" t="s">
        <v>216</v>
      </c>
      <c r="K43" s="55">
        <v>3</v>
      </c>
      <c r="L43" s="31">
        <f t="shared" si="1"/>
        <v>15</v>
      </c>
      <c r="M43" s="70" t="s">
        <v>215</v>
      </c>
      <c r="N43" s="70" t="s">
        <v>216</v>
      </c>
      <c r="O43" s="70" t="s">
        <v>215</v>
      </c>
      <c r="P43" s="70" t="s">
        <v>216</v>
      </c>
      <c r="Q43" s="70"/>
      <c r="R43" s="70"/>
    </row>
    <row r="44" spans="1:18" ht="25.5" x14ac:dyDescent="0.25">
      <c r="A44" s="1"/>
      <c r="B44" s="83">
        <f t="shared" si="0"/>
        <v>35</v>
      </c>
      <c r="C44" s="53" t="s">
        <v>45</v>
      </c>
      <c r="D44" s="62" t="s">
        <v>87</v>
      </c>
      <c r="E44" s="53" t="s">
        <v>214</v>
      </c>
      <c r="F44" s="53" t="s">
        <v>120</v>
      </c>
      <c r="G44" s="66" t="s">
        <v>215</v>
      </c>
      <c r="H44" s="53" t="s">
        <v>177</v>
      </c>
      <c r="I44" s="62" t="s">
        <v>260</v>
      </c>
      <c r="J44" s="59" t="s">
        <v>216</v>
      </c>
      <c r="K44" s="56">
        <v>1</v>
      </c>
      <c r="L44" s="30">
        <f t="shared" si="1"/>
        <v>5</v>
      </c>
      <c r="M44" s="30">
        <v>10</v>
      </c>
      <c r="N44" s="76" t="s">
        <v>224</v>
      </c>
      <c r="O44" s="34">
        <v>5.9900000000000002E-2</v>
      </c>
      <c r="P44" s="34">
        <f t="shared" si="2"/>
        <v>0.59899999999999998</v>
      </c>
      <c r="Q44" s="34"/>
      <c r="R44" s="34"/>
    </row>
    <row r="45" spans="1:18" ht="25.5" x14ac:dyDescent="0.25">
      <c r="A45" s="1"/>
      <c r="B45" s="83">
        <f t="shared" si="0"/>
        <v>36</v>
      </c>
      <c r="C45" s="97" t="s">
        <v>46</v>
      </c>
      <c r="D45" s="98" t="s">
        <v>88</v>
      </c>
      <c r="E45" s="97" t="s">
        <v>121</v>
      </c>
      <c r="F45" s="97" t="s">
        <v>152</v>
      </c>
      <c r="G45" s="99" t="s">
        <v>272</v>
      </c>
      <c r="H45" s="97" t="s">
        <v>178</v>
      </c>
      <c r="I45" s="99" t="s">
        <v>272</v>
      </c>
      <c r="J45" s="105" t="s">
        <v>216</v>
      </c>
      <c r="K45" s="100">
        <v>1</v>
      </c>
      <c r="L45" s="101">
        <f t="shared" si="1"/>
        <v>5</v>
      </c>
      <c r="M45" s="101">
        <v>6</v>
      </c>
      <c r="N45" s="102" t="s">
        <v>275</v>
      </c>
      <c r="O45" s="103">
        <v>3.2</v>
      </c>
      <c r="P45" s="103">
        <f t="shared" si="2"/>
        <v>19.200000000000003</v>
      </c>
      <c r="Q45" s="104" t="s">
        <v>281</v>
      </c>
      <c r="R45" s="103"/>
    </row>
    <row r="46" spans="1:18" x14ac:dyDescent="0.25">
      <c r="A46" s="1"/>
      <c r="B46" s="83">
        <f t="shared" si="0"/>
        <v>37</v>
      </c>
      <c r="C46" s="53" t="s">
        <v>47</v>
      </c>
      <c r="D46" s="62" t="s">
        <v>89</v>
      </c>
      <c r="E46" s="53" t="s">
        <v>122</v>
      </c>
      <c r="F46" s="53" t="s">
        <v>153</v>
      </c>
      <c r="G46" s="66" t="s">
        <v>215</v>
      </c>
      <c r="H46" s="53" t="s">
        <v>179</v>
      </c>
      <c r="I46" s="62" t="s">
        <v>261</v>
      </c>
      <c r="J46" s="59" t="s">
        <v>216</v>
      </c>
      <c r="K46" s="56">
        <v>1</v>
      </c>
      <c r="L46" s="30">
        <f t="shared" si="1"/>
        <v>5</v>
      </c>
      <c r="M46" s="30">
        <v>6</v>
      </c>
      <c r="N46" s="76" t="s">
        <v>224</v>
      </c>
      <c r="O46" s="34">
        <v>0.49409999999999998</v>
      </c>
      <c r="P46" s="34">
        <f t="shared" si="2"/>
        <v>2.9645999999999999</v>
      </c>
      <c r="Q46" s="34"/>
      <c r="R46" s="34"/>
    </row>
    <row r="47" spans="1:18" ht="25.5" x14ac:dyDescent="0.25">
      <c r="A47" s="1"/>
      <c r="B47" s="83">
        <f t="shared" si="0"/>
        <v>38</v>
      </c>
      <c r="C47" s="97" t="s">
        <v>48</v>
      </c>
      <c r="D47" s="98" t="s">
        <v>90</v>
      </c>
      <c r="E47" s="97" t="s">
        <v>123</v>
      </c>
      <c r="F47" s="97" t="s">
        <v>154</v>
      </c>
      <c r="G47" s="99" t="s">
        <v>215</v>
      </c>
      <c r="H47" s="97" t="s">
        <v>180</v>
      </c>
      <c r="I47" s="99" t="s">
        <v>272</v>
      </c>
      <c r="J47" s="105" t="s">
        <v>216</v>
      </c>
      <c r="K47" s="100">
        <v>1</v>
      </c>
      <c r="L47" s="101">
        <f t="shared" si="1"/>
        <v>5</v>
      </c>
      <c r="M47" s="101">
        <v>6</v>
      </c>
      <c r="N47" s="102" t="s">
        <v>275</v>
      </c>
      <c r="O47" s="103">
        <v>1.8</v>
      </c>
      <c r="P47" s="103">
        <f t="shared" si="2"/>
        <v>10.8</v>
      </c>
      <c r="Q47" s="104" t="s">
        <v>281</v>
      </c>
      <c r="R47" s="103"/>
    </row>
    <row r="48" spans="1:18" ht="25.5" x14ac:dyDescent="0.25">
      <c r="A48" s="1"/>
      <c r="B48" s="83">
        <f t="shared" si="0"/>
        <v>39</v>
      </c>
      <c r="C48" s="88" t="s">
        <v>49</v>
      </c>
      <c r="D48" s="89" t="s">
        <v>91</v>
      </c>
      <c r="E48" s="88" t="s">
        <v>124</v>
      </c>
      <c r="F48" s="88" t="s">
        <v>155</v>
      </c>
      <c r="G48" s="90" t="s">
        <v>215</v>
      </c>
      <c r="H48" s="88" t="s">
        <v>181</v>
      </c>
      <c r="I48" s="89" t="s">
        <v>262</v>
      </c>
      <c r="J48" s="91" t="s">
        <v>216</v>
      </c>
      <c r="K48" s="92">
        <v>1</v>
      </c>
      <c r="L48" s="93">
        <f t="shared" si="1"/>
        <v>5</v>
      </c>
      <c r="M48" s="93">
        <v>6</v>
      </c>
      <c r="N48" s="94" t="s">
        <v>224</v>
      </c>
      <c r="O48" s="95">
        <v>12.0892</v>
      </c>
      <c r="P48" s="95">
        <f t="shared" si="2"/>
        <v>72.535200000000003</v>
      </c>
      <c r="Q48" s="96" t="s">
        <v>294</v>
      </c>
      <c r="R48" s="95"/>
    </row>
    <row r="49" spans="1:18" x14ac:dyDescent="0.25">
      <c r="A49" s="1"/>
      <c r="B49" s="83">
        <f t="shared" si="0"/>
        <v>40</v>
      </c>
      <c r="C49" s="97" t="s">
        <v>50</v>
      </c>
      <c r="D49" s="98" t="s">
        <v>92</v>
      </c>
      <c r="E49" s="97" t="s">
        <v>125</v>
      </c>
      <c r="F49" s="97" t="s">
        <v>156</v>
      </c>
      <c r="G49" s="99" t="s">
        <v>215</v>
      </c>
      <c r="H49" s="97" t="s">
        <v>182</v>
      </c>
      <c r="I49" s="99" t="s">
        <v>215</v>
      </c>
      <c r="J49" s="105" t="s">
        <v>216</v>
      </c>
      <c r="K49" s="100">
        <v>1</v>
      </c>
      <c r="L49" s="101">
        <f t="shared" si="1"/>
        <v>5</v>
      </c>
      <c r="M49" s="101">
        <v>6</v>
      </c>
      <c r="N49" s="102" t="s">
        <v>275</v>
      </c>
      <c r="O49" s="103">
        <v>11.45</v>
      </c>
      <c r="P49" s="103">
        <f t="shared" si="2"/>
        <v>68.699999999999989</v>
      </c>
      <c r="Q49" s="104" t="s">
        <v>281</v>
      </c>
      <c r="R49" s="103"/>
    </row>
    <row r="50" spans="1:18" x14ac:dyDescent="0.25">
      <c r="A50" s="1"/>
      <c r="B50" s="83">
        <f t="shared" si="0"/>
        <v>41</v>
      </c>
      <c r="C50" s="53" t="s">
        <v>51</v>
      </c>
      <c r="D50" s="62" t="s">
        <v>93</v>
      </c>
      <c r="E50" s="53" t="s">
        <v>126</v>
      </c>
      <c r="F50" s="53" t="s">
        <v>157</v>
      </c>
      <c r="G50" s="66" t="s">
        <v>215</v>
      </c>
      <c r="H50" s="53" t="s">
        <v>183</v>
      </c>
      <c r="I50" s="62" t="s">
        <v>263</v>
      </c>
      <c r="J50" s="59" t="s">
        <v>216</v>
      </c>
      <c r="K50" s="56">
        <v>1</v>
      </c>
      <c r="L50" s="30">
        <f t="shared" si="1"/>
        <v>5</v>
      </c>
      <c r="M50" s="30">
        <v>6</v>
      </c>
      <c r="N50" s="76" t="s">
        <v>224</v>
      </c>
      <c r="O50" s="34">
        <v>2.851</v>
      </c>
      <c r="P50" s="34">
        <f t="shared" si="2"/>
        <v>17.106000000000002</v>
      </c>
      <c r="Q50" s="34"/>
      <c r="R50" s="34"/>
    </row>
    <row r="51" spans="1:18" ht="38.25" x14ac:dyDescent="0.25">
      <c r="A51" s="1"/>
      <c r="B51" s="83">
        <f t="shared" si="0"/>
        <v>42</v>
      </c>
      <c r="C51" s="52" t="s">
        <v>52</v>
      </c>
      <c r="D51" s="61" t="s">
        <v>94</v>
      </c>
      <c r="E51" s="52" t="s">
        <v>127</v>
      </c>
      <c r="F51" s="52" t="s">
        <v>158</v>
      </c>
      <c r="G51" s="63" t="s">
        <v>215</v>
      </c>
      <c r="H51" s="52" t="s">
        <v>184</v>
      </c>
      <c r="I51" s="61" t="s">
        <v>264</v>
      </c>
      <c r="J51" s="58" t="s">
        <v>216</v>
      </c>
      <c r="K51" s="55">
        <v>1</v>
      </c>
      <c r="L51" s="31">
        <f t="shared" si="1"/>
        <v>5</v>
      </c>
      <c r="M51" s="31">
        <v>6</v>
      </c>
      <c r="N51" s="75" t="s">
        <v>224</v>
      </c>
      <c r="O51" s="35">
        <v>4.3278999999999996</v>
      </c>
      <c r="P51" s="35">
        <f t="shared" si="2"/>
        <v>25.967399999999998</v>
      </c>
      <c r="Q51" s="35"/>
      <c r="R51" s="35"/>
    </row>
    <row r="52" spans="1:18" ht="38.25" x14ac:dyDescent="0.25">
      <c r="A52" s="1"/>
      <c r="B52" s="83">
        <f t="shared" si="0"/>
        <v>43</v>
      </c>
      <c r="C52" s="53" t="s">
        <v>53</v>
      </c>
      <c r="D52" s="62" t="s">
        <v>95</v>
      </c>
      <c r="E52" s="53" t="s">
        <v>128</v>
      </c>
      <c r="F52" s="53" t="s">
        <v>159</v>
      </c>
      <c r="G52" s="66" t="s">
        <v>215</v>
      </c>
      <c r="H52" s="53" t="s">
        <v>185</v>
      </c>
      <c r="I52" s="62" t="s">
        <v>265</v>
      </c>
      <c r="J52" s="59" t="s">
        <v>216</v>
      </c>
      <c r="K52" s="56">
        <v>1</v>
      </c>
      <c r="L52" s="30">
        <f t="shared" si="1"/>
        <v>5</v>
      </c>
      <c r="M52" s="30">
        <v>10</v>
      </c>
      <c r="N52" s="76" t="s">
        <v>224</v>
      </c>
      <c r="O52" s="34">
        <v>2.0400000000000001E-2</v>
      </c>
      <c r="P52" s="34">
        <f t="shared" si="2"/>
        <v>0.20400000000000001</v>
      </c>
      <c r="Q52" s="34"/>
      <c r="R52" s="34"/>
    </row>
    <row r="53" spans="1:18" ht="38.25" x14ac:dyDescent="0.25">
      <c r="A53" s="1"/>
      <c r="B53" s="83">
        <f t="shared" si="0"/>
        <v>44</v>
      </c>
      <c r="C53" s="52" t="s">
        <v>54</v>
      </c>
      <c r="D53" s="61" t="s">
        <v>96</v>
      </c>
      <c r="E53" s="52" t="s">
        <v>214</v>
      </c>
      <c r="F53" s="52" t="s">
        <v>129</v>
      </c>
      <c r="G53" s="63" t="s">
        <v>215</v>
      </c>
      <c r="H53" s="52" t="s">
        <v>186</v>
      </c>
      <c r="I53" s="61" t="s">
        <v>266</v>
      </c>
      <c r="J53" s="52" t="s">
        <v>211</v>
      </c>
      <c r="K53" s="55">
        <v>2</v>
      </c>
      <c r="L53" s="31">
        <f t="shared" si="1"/>
        <v>10</v>
      </c>
      <c r="M53" s="31">
        <v>11</v>
      </c>
      <c r="N53" s="75" t="s">
        <v>224</v>
      </c>
      <c r="O53" s="35">
        <v>0.27650000000000002</v>
      </c>
      <c r="P53" s="35">
        <f t="shared" si="2"/>
        <v>3.0415000000000001</v>
      </c>
      <c r="Q53" s="35"/>
      <c r="R53" s="35"/>
    </row>
    <row r="54" spans="1:18" ht="38.25" x14ac:dyDescent="0.25">
      <c r="A54" s="1"/>
      <c r="B54" s="83">
        <f t="shared" si="0"/>
        <v>45</v>
      </c>
      <c r="C54" s="53" t="s">
        <v>55</v>
      </c>
      <c r="D54" s="62" t="s">
        <v>97</v>
      </c>
      <c r="E54" s="53" t="s">
        <v>214</v>
      </c>
      <c r="F54" s="53" t="s">
        <v>130</v>
      </c>
      <c r="G54" s="66" t="s">
        <v>215</v>
      </c>
      <c r="H54" s="53" t="s">
        <v>186</v>
      </c>
      <c r="I54" s="62" t="s">
        <v>267</v>
      </c>
      <c r="J54" s="53" t="s">
        <v>212</v>
      </c>
      <c r="K54" s="56">
        <v>1</v>
      </c>
      <c r="L54" s="30">
        <f t="shared" si="1"/>
        <v>5</v>
      </c>
      <c r="M54" s="30">
        <v>10</v>
      </c>
      <c r="N54" s="76" t="s">
        <v>224</v>
      </c>
      <c r="O54" s="34">
        <v>9.7100000000000006E-2</v>
      </c>
      <c r="P54" s="34">
        <f t="shared" si="2"/>
        <v>0.97100000000000009</v>
      </c>
      <c r="Q54" s="34"/>
      <c r="R54" s="34"/>
    </row>
    <row r="55" spans="1:18" ht="39" thickBot="1" x14ac:dyDescent="0.3">
      <c r="A55" s="1"/>
      <c r="B55" s="83">
        <f t="shared" si="0"/>
        <v>46</v>
      </c>
      <c r="C55" s="73" t="s">
        <v>56</v>
      </c>
      <c r="D55" s="64" t="s">
        <v>98</v>
      </c>
      <c r="E55" s="73" t="s">
        <v>214</v>
      </c>
      <c r="F55" s="73" t="s">
        <v>131</v>
      </c>
      <c r="G55" s="67" t="s">
        <v>215</v>
      </c>
      <c r="H55" s="73" t="s">
        <v>187</v>
      </c>
      <c r="I55" s="64" t="s">
        <v>268</v>
      </c>
      <c r="J55" s="73" t="s">
        <v>213</v>
      </c>
      <c r="K55" s="57">
        <v>1</v>
      </c>
      <c r="L55" s="45">
        <f t="shared" si="1"/>
        <v>5</v>
      </c>
      <c r="M55" s="45">
        <v>10</v>
      </c>
      <c r="N55" s="78" t="s">
        <v>224</v>
      </c>
      <c r="O55" s="46">
        <v>0.13439999999999999</v>
      </c>
      <c r="P55" s="46">
        <f t="shared" si="2"/>
        <v>1.3439999999999999</v>
      </c>
      <c r="Q55" s="46"/>
      <c r="R55" s="46"/>
    </row>
    <row r="56" spans="1:18" ht="19.5" thickBot="1" x14ac:dyDescent="0.3">
      <c r="A56" s="1"/>
      <c r="B56" s="47"/>
      <c r="C56" s="48" t="s">
        <v>5</v>
      </c>
      <c r="D56" s="49"/>
      <c r="E56" s="50"/>
      <c r="F56" s="71"/>
      <c r="G56" s="71"/>
      <c r="H56" s="71"/>
      <c r="I56" s="71"/>
      <c r="J56" s="71"/>
      <c r="K56" s="71"/>
      <c r="L56" s="71"/>
      <c r="M56" s="110" t="s">
        <v>278</v>
      </c>
      <c r="N56" s="111"/>
      <c r="O56" s="111"/>
      <c r="P56" s="80">
        <f>SUM(P10:P55)</f>
        <v>256.46360000000004</v>
      </c>
      <c r="Q56" s="71"/>
      <c r="R56" s="72"/>
    </row>
    <row r="57" spans="1:18" ht="19.5" thickBot="1" x14ac:dyDescent="0.3">
      <c r="A57" s="1"/>
      <c r="B57" s="24"/>
      <c r="C57" s="8" t="s">
        <v>6</v>
      </c>
      <c r="D57" s="9"/>
      <c r="E57" s="9"/>
      <c r="F57" s="43"/>
      <c r="G57" s="43"/>
      <c r="H57" s="43"/>
      <c r="I57" s="43"/>
      <c r="J57" s="43"/>
      <c r="K57" s="43"/>
      <c r="L57" s="43"/>
      <c r="M57" s="110" t="s">
        <v>279</v>
      </c>
      <c r="N57" s="111"/>
      <c r="O57" s="111"/>
      <c r="P57" s="79">
        <f>P56/5</f>
        <v>51.29272000000001</v>
      </c>
      <c r="Q57" s="43"/>
      <c r="R57" s="44"/>
    </row>
  </sheetData>
  <mergeCells count="5">
    <mergeCell ref="R3:R8"/>
    <mergeCell ref="J2:R2"/>
    <mergeCell ref="M56:O56"/>
    <mergeCell ref="M57:O57"/>
    <mergeCell ref="J1:K1"/>
  </mergeCells>
  <hyperlinks>
    <hyperlink ref="N10" r:id="rId1" xr:uid="{89FE49F2-489B-4F8E-8442-F4F08D2A71B9}"/>
    <hyperlink ref="N11" r:id="rId2" xr:uid="{B2C94EB8-361E-4059-912A-7E08189FF588}"/>
    <hyperlink ref="N12" r:id="rId3" xr:uid="{C19BE0B1-F1F1-4F20-B4BD-E9C636ECF5F4}"/>
    <hyperlink ref="N14" r:id="rId4" xr:uid="{7F307109-CE66-4E56-B927-F44D4A7D1544}"/>
    <hyperlink ref="N13" r:id="rId5" xr:uid="{452140BD-B707-4DD6-97FD-06A0408D0F5E}"/>
    <hyperlink ref="N15" r:id="rId6" xr:uid="{567837A6-FAC1-4EE4-8093-25DE77AB4C76}"/>
    <hyperlink ref="N16" r:id="rId7" xr:uid="{84DDAAD3-0D88-427C-B37F-EF4F7D64C3F9}"/>
    <hyperlink ref="N17" r:id="rId8" xr:uid="{0F02C980-61A3-4E84-B81B-D6711E4DA791}"/>
    <hyperlink ref="N18" r:id="rId9" xr:uid="{1F51A281-7903-4DE5-9D43-C8D611F3E5B3}"/>
    <hyperlink ref="N19" r:id="rId10" xr:uid="{F9BCC43B-5974-4F21-BB56-696E568D40F2}"/>
    <hyperlink ref="N20" r:id="rId11" xr:uid="{71BDBDEC-A643-4EE2-AB8B-77BCE9EFCD5F}"/>
    <hyperlink ref="N21" r:id="rId12" xr:uid="{66E014D8-15DF-496D-B3EF-4C478897BEE9}"/>
    <hyperlink ref="N22" r:id="rId13" xr:uid="{977C37EA-9C73-4C4C-B8BA-458124D4F10B}"/>
    <hyperlink ref="N24" r:id="rId14" xr:uid="{FEE6FFE2-6B3E-4EE5-9854-876785A32929}"/>
    <hyperlink ref="N27" r:id="rId15" xr:uid="{7524F555-50E1-47E0-AF8E-5BC45B838FFE}"/>
    <hyperlink ref="N28" r:id="rId16" xr:uid="{E0EBA58F-E359-4BCB-A2C9-9C49D150A629}"/>
    <hyperlink ref="N29" r:id="rId17" xr:uid="{30630BC0-7DB5-4073-8F22-E28F5B42FCE1}"/>
    <hyperlink ref="N32" r:id="rId18" xr:uid="{D7F6D37C-1F7B-418B-9244-5EC422B2C736}"/>
    <hyperlink ref="N30" r:id="rId19" xr:uid="{7EC7E3F1-93CD-45A5-BAEC-2E96006DD4BC}"/>
    <hyperlink ref="N31" r:id="rId20" xr:uid="{DAFC4B5E-88AC-4044-8DE5-E6B95F9FA94C}"/>
    <hyperlink ref="N33" r:id="rId21" xr:uid="{FC25DD16-B062-4971-87F3-FBBA153342C7}"/>
    <hyperlink ref="N34" r:id="rId22" xr:uid="{BA75FE37-D1AE-4A06-A7D6-2FC24E19A57B}"/>
    <hyperlink ref="N37" r:id="rId23" xr:uid="{F2FCE814-68EB-42CA-B801-47EACCC9D840}"/>
    <hyperlink ref="N38" r:id="rId24" xr:uid="{B8B83BF6-E82D-4A6D-9C89-2F85CAB04646}"/>
    <hyperlink ref="N42" r:id="rId25" xr:uid="{377F7D05-CD56-46CE-86C7-8359A58D6174}"/>
    <hyperlink ref="N39" r:id="rId26" xr:uid="{5BC7FB0B-A7A9-4A4F-B0AF-D93D90BD0257}"/>
    <hyperlink ref="N40" r:id="rId27" xr:uid="{42342919-596A-4C59-8816-01D385B759CB}"/>
    <hyperlink ref="N41" r:id="rId28" xr:uid="{5D8F6C78-4114-4B09-9296-33D8E0033965}"/>
    <hyperlink ref="N44" r:id="rId29" xr:uid="{30A94DA1-5BD4-4155-A48B-F08C168CF099}"/>
    <hyperlink ref="N46" r:id="rId30" xr:uid="{C3F3FC15-3DA9-4B1A-84AC-5A582D205C55}"/>
    <hyperlink ref="N48" r:id="rId31" xr:uid="{3A097DB9-C3B3-436E-8B87-273AE27C3FB3}"/>
    <hyperlink ref="N50" r:id="rId32" xr:uid="{0763754B-803A-440F-9046-E7656CF9DB82}"/>
    <hyperlink ref="N51" r:id="rId33" xr:uid="{4C3FCDA1-65D2-4395-9426-3E1F29BD784A}"/>
    <hyperlink ref="N52" r:id="rId34" xr:uid="{A4B71E3E-7A98-4CCB-A3C2-8B949A858D06}"/>
    <hyperlink ref="N53" r:id="rId35" xr:uid="{8DCBF280-B1E4-481C-8762-45E69BB689C9}"/>
    <hyperlink ref="N54" r:id="rId36" xr:uid="{9D7C6330-6521-4E77-B082-7293A2D402F7}"/>
    <hyperlink ref="N55" r:id="rId37" xr:uid="{60E4F958-BD03-4950-AA1A-E5483E7B8267}"/>
    <hyperlink ref="N36" r:id="rId38" xr:uid="{019A488B-4FF7-4C4E-B4AC-B360044B8376}"/>
    <hyperlink ref="N45" r:id="rId39" xr:uid="{422359C3-822C-4FAA-8878-23A1A61D0F74}"/>
    <hyperlink ref="N47" r:id="rId40" xr:uid="{1814BF9F-58FE-400D-907F-EAC26C6361E4}"/>
    <hyperlink ref="N49" r:id="rId41" xr:uid="{1CD03380-9BD7-47D9-B053-5A646F2458CF}"/>
    <hyperlink ref="N26" r:id="rId42" xr:uid="{3DEFF66E-912E-4F2F-97AB-FACD57B0039F}"/>
    <hyperlink ref="N23" r:id="rId43" xr:uid="{83A2C1C1-8C25-4D67-A480-302431668718}"/>
    <hyperlink ref="N25" r:id="rId44" xr:uid="{30D22A24-3F30-4E99-967B-FA4F0FA9B8E8}"/>
    <hyperlink ref="N35" r:id="rId45" xr:uid="{E6D3A492-9D47-4832-8671-ED5B61C9ACB1}"/>
  </hyperlinks>
  <pageMargins left="0.7" right="0.7" top="0.75" bottom="0.75" header="0.3" footer="0.3"/>
  <pageSetup paperSize="9"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2022-06-24T14:13:27Z</dcterms:modified>
</cp:coreProperties>
</file>