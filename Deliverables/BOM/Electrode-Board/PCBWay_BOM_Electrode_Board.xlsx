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ManarHarake-sEMGDevice\Deliverables\BOM\Electrode-Board\"/>
    </mc:Choice>
  </mc:AlternateContent>
  <xr:revisionPtr revIDLastSave="0" documentId="13_ncr:1_{E016B142-1866-48D9-81BD-991AF18CAE9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3" i="1" l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<sst xmlns="http://schemas.openxmlformats.org/spreadsheetml/2006/main" count="121" uniqueCount="100">
  <si>
    <t>Component list</t>
  </si>
  <si>
    <t>Source Data From:</t>
  </si>
  <si>
    <t>Project:</t>
  </si>
  <si>
    <t>Variant:</t>
  </si>
  <si>
    <t>#</t>
  </si>
  <si>
    <t>Approved</t>
  </si>
  <si>
    <t>Notes</t>
  </si>
  <si>
    <t>Bill of Materials for Project [Electrode_Board.PrjPcb] (No PCB Document Selected)</t>
  </si>
  <si>
    <t>Electrode_Board.PrjPcb</t>
  </si>
  <si>
    <t>None</t>
  </si>
  <si>
    <t>Designator</t>
  </si>
  <si>
    <t>C1</t>
  </si>
  <si>
    <t>C2</t>
  </si>
  <si>
    <t>C3</t>
  </si>
  <si>
    <t>C4</t>
  </si>
  <si>
    <t>D1, D2</t>
  </si>
  <si>
    <t>J1</t>
  </si>
  <si>
    <t>P1</t>
  </si>
  <si>
    <t>R1</t>
  </si>
  <si>
    <t>R2, R3, R4, R5, R6</t>
  </si>
  <si>
    <t>R7, R8</t>
  </si>
  <si>
    <t>R9</t>
  </si>
  <si>
    <t>R10</t>
  </si>
  <si>
    <t>U1</t>
  </si>
  <si>
    <t>U2</t>
  </si>
  <si>
    <t>Description</t>
  </si>
  <si>
    <t>CAP CER 10UF 25V X5R 0603</t>
  </si>
  <si>
    <t>CAP CER 0.1UF 50V X7R 0402</t>
  </si>
  <si>
    <t>CAP CER 10nF 50V 0402 SMD</t>
  </si>
  <si>
    <t>CAP CER 1UF 16V X5R 0402</t>
  </si>
  <si>
    <t>100V -55℃~+150℃@(Tj) 400mW Single 1.25V@150mA 4ns 1μA@75V 200mA SOD-323 Switching Diode ROHS</t>
  </si>
  <si>
    <t>CONN FFC BOTTOM 6POS 0.50MM R/A</t>
  </si>
  <si>
    <t>Sensor Connecting Pads</t>
  </si>
  <si>
    <t>RES SMD 0402 240 Ohm 1% 1/16W ±100ppm/°C Molded SMD Paper T/R</t>
  </si>
  <si>
    <t>RES SMD 0402 150kOhm 5% Paper T/R</t>
  </si>
  <si>
    <t>1/16W 50V ±1% ±200ppm/℃ -55℃~+155℃ 80.6kΩ 0402 Chip Resistor - Surface Mount ROHS</t>
  </si>
  <si>
    <t>TRIMMER 100K OHM 0.1W J LEAD TOP</t>
  </si>
  <si>
    <t>RES 1K OHM 5% 1/16W 0402</t>
  </si>
  <si>
    <t>IC OPAMP INSTR 825KHZ 8SOIC</t>
  </si>
  <si>
    <t>IC OPAMP JFET 4 CIRCUIT 14TSSOP</t>
  </si>
  <si>
    <t>Footprint</t>
  </si>
  <si>
    <t>Cap0603</t>
  </si>
  <si>
    <t>Cap 0402</t>
  </si>
  <si>
    <t>SOD-323</t>
  </si>
  <si>
    <t>FH19C-6S-0.5SH(10)</t>
  </si>
  <si>
    <t>sEMG sensor</t>
  </si>
  <si>
    <t>Res0402</t>
  </si>
  <si>
    <t>TC33X-2-104E</t>
  </si>
  <si>
    <t>SOIC-8</t>
  </si>
  <si>
    <t>14TSSOP</t>
  </si>
  <si>
    <t>Manufacturer Part Number</t>
  </si>
  <si>
    <t>CL10A106MA8NRNC</t>
  </si>
  <si>
    <t>CC0402KRX5R7BB105</t>
  </si>
  <si>
    <t>1N4148WS</t>
  </si>
  <si>
    <t>RC0402FR-07240RL</t>
  </si>
  <si>
    <t>RC0402JR-07150KL</t>
  </si>
  <si>
    <t>RC0402JR-071KL</t>
  </si>
  <si>
    <t>AD8221ARZ-R7</t>
  </si>
  <si>
    <t>TL084CPWR</t>
  </si>
  <si>
    <t>Manufacturer</t>
  </si>
  <si>
    <t>Samsung</t>
  </si>
  <si>
    <t>Murata</t>
  </si>
  <si>
    <t>Yageo</t>
  </si>
  <si>
    <t>Hirose</t>
  </si>
  <si>
    <t>FH</t>
  </si>
  <si>
    <t>Bourns</t>
  </si>
  <si>
    <t>Analog Devices</t>
  </si>
  <si>
    <t>Texas Instruments</t>
  </si>
  <si>
    <t>Comment</t>
  </si>
  <si>
    <t>0.1uF</t>
  </si>
  <si>
    <t>10nF</t>
  </si>
  <si>
    <t>1uF</t>
  </si>
  <si>
    <t>240R</t>
  </si>
  <si>
    <t>150K</t>
  </si>
  <si>
    <t>80.6K</t>
  </si>
  <si>
    <t>1K</t>
  </si>
  <si>
    <t>LCSC/Part No</t>
  </si>
  <si>
    <t>C2922482</t>
  </si>
  <si>
    <t>C307331</t>
  </si>
  <si>
    <t>C60133</t>
  </si>
  <si>
    <t>C325464</t>
  </si>
  <si>
    <t xml:space="preserve">C110221
</t>
  </si>
  <si>
    <t>C424651</t>
  </si>
  <si>
    <t>-------</t>
  </si>
  <si>
    <t>C114755</t>
  </si>
  <si>
    <t>C137919</t>
  </si>
  <si>
    <t>C304637</t>
  </si>
  <si>
    <t>C719186</t>
  </si>
  <si>
    <t>C105637</t>
  </si>
  <si>
    <t>--------</t>
  </si>
  <si>
    <t>C85344</t>
  </si>
  <si>
    <t>----</t>
  </si>
  <si>
    <t>Remarks</t>
  </si>
  <si>
    <t>CL05B104KB54PNC</t>
  </si>
  <si>
    <t>CC0402KRX7R9BB103</t>
  </si>
  <si>
    <t xml:space="preserve">Shikues </t>
  </si>
  <si>
    <t>Quantity (Per Board)</t>
  </si>
  <si>
    <t>10uF</t>
  </si>
  <si>
    <t>LCSC/MOQ/(40 Boards)</t>
  </si>
  <si>
    <t>RC-02W8062FT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</si>
</sst>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:mm:ss\ AM/PM;@"/>
  </numFmts>
  <fonts count="19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6" fillId="3" borderId="11" xfId="0" applyFont="1" applyFill="1" applyBorder="1" applyAlignment="1">
      <alignment vertical="center"/>
    </xf>
    <xf numFmtId="0" fontId="7" fillId="3" borderId="0" xfId="0" applyFont="1" applyFill="1" applyBorder="1" applyAlignment="1"/>
    <xf numFmtId="0" fontId="8" fillId="3" borderId="5" xfId="0" applyFont="1" applyFill="1" applyBorder="1" applyAlignment="1"/>
    <xf numFmtId="0" fontId="8" fillId="3" borderId="6" xfId="0" applyFont="1" applyFill="1" applyBorder="1" applyAlignment="1"/>
    <xf numFmtId="0" fontId="9" fillId="3" borderId="0" xfId="0" applyFont="1" applyFill="1" applyBorder="1" applyAlignment="1"/>
    <xf numFmtId="0" fontId="10" fillId="3" borderId="3" xfId="0" applyNumberFormat="1" applyFont="1" applyFill="1" applyBorder="1" applyAlignment="1" applyProtection="1">
      <alignment horizontal="left" vertical="top"/>
      <protection locked="0"/>
    </xf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 applyBorder="1" applyAlignment="1"/>
    <xf numFmtId="0" fontId="12" fillId="3" borderId="6" xfId="0" applyFont="1" applyFill="1" applyBorder="1" applyAlignment="1"/>
    <xf numFmtId="0" fontId="12" fillId="3" borderId="5" xfId="0" applyFont="1" applyFill="1" applyBorder="1" applyAlignment="1"/>
    <xf numFmtId="0" fontId="10" fillId="3" borderId="5" xfId="0" applyFont="1" applyFill="1" applyBorder="1" applyAlignment="1"/>
    <xf numFmtId="0" fontId="12" fillId="3" borderId="5" xfId="0" applyFont="1" applyFill="1" applyBorder="1" applyAlignment="1">
      <alignment horizontal="left"/>
    </xf>
    <xf numFmtId="0" fontId="15" fillId="3" borderId="0" xfId="0" applyFont="1" applyFill="1" applyBorder="1" applyAlignment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 applyBorder="1" applyAlignment="1"/>
    <xf numFmtId="164" fontId="12" fillId="3" borderId="0" xfId="0" applyNumberFormat="1" applyFont="1" applyFill="1" applyBorder="1" applyAlignment="1">
      <alignment horizontal="left"/>
    </xf>
    <xf numFmtId="0" fontId="16" fillId="5" borderId="14" xfId="0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center" vertical="center"/>
    </xf>
    <xf numFmtId="0" fontId="12" fillId="5" borderId="14" xfId="0" applyFont="1" applyFill="1" applyBorder="1" applyAlignment="1">
      <alignment horizontal="center" vertical="center" wrapText="1"/>
    </xf>
    <xf numFmtId="0" fontId="10" fillId="3" borderId="9" xfId="0" applyNumberFormat="1" applyFont="1" applyFill="1" applyBorder="1" applyAlignment="1" applyProtection="1">
      <alignment horizontal="center" vertical="center"/>
      <protection locked="0"/>
    </xf>
    <xf numFmtId="0" fontId="10" fillId="3" borderId="10" xfId="0" applyNumberFormat="1" applyFont="1" applyFill="1" applyBorder="1" applyAlignment="1" applyProtection="1">
      <alignment vertical="center"/>
      <protection locked="0"/>
    </xf>
    <xf numFmtId="0" fontId="11" fillId="3" borderId="10" xfId="0" applyNumberFormat="1" applyFont="1" applyFill="1" applyBorder="1" applyAlignment="1" applyProtection="1">
      <alignment horizontal="left" vertical="center"/>
      <protection locked="0"/>
    </xf>
    <xf numFmtId="0" fontId="0" fillId="3" borderId="10" xfId="0" applyFont="1" applyFill="1" applyBorder="1" applyAlignment="1">
      <alignment vertical="center"/>
    </xf>
    <xf numFmtId="0" fontId="0" fillId="3" borderId="10" xfId="0" applyFont="1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4" borderId="16" xfId="0" applyFont="1" applyFill="1" applyBorder="1" applyAlignment="1">
      <alignment horizontal="center" vertical="center" wrapText="1"/>
    </xf>
    <xf numFmtId="0" fontId="17" fillId="4" borderId="6" xfId="0" applyFont="1" applyFill="1" applyBorder="1" applyAlignment="1">
      <alignment horizontal="center" vertical="center" wrapText="1"/>
    </xf>
    <xf numFmtId="0" fontId="17" fillId="4" borderId="17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ont="1" applyFill="1" applyBorder="1"/>
    <xf numFmtId="0" fontId="11" fillId="3" borderId="18" xfId="0" applyNumberFormat="1" applyFont="1" applyFill="1" applyBorder="1" applyAlignment="1" applyProtection="1">
      <alignment horizontal="left" vertical="top"/>
      <protection locked="0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Border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1" fillId="2" borderId="6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7" fillId="2" borderId="5" xfId="0" quotePrefix="1" applyFont="1" applyFill="1" applyBorder="1" applyAlignment="1">
      <alignment horizontal="center" vertical="center" wrapText="1"/>
    </xf>
    <xf numFmtId="0" fontId="16" fillId="5" borderId="19" xfId="0" applyFont="1" applyFill="1" applyBorder="1" applyAlignment="1">
      <alignment horizontal="center" vertical="center"/>
    </xf>
    <xf numFmtId="0" fontId="17" fillId="2" borderId="15" xfId="0" quotePrefix="1" applyFont="1" applyFill="1" applyBorder="1" applyAlignment="1">
      <alignment horizontal="center" vertical="center" wrapText="1"/>
    </xf>
    <xf numFmtId="0" fontId="17" fillId="4" borderId="16" xfId="0" quotePrefix="1" applyFont="1" applyFill="1" applyBorder="1" applyAlignment="1">
      <alignment horizontal="center" vertical="center" wrapText="1"/>
    </xf>
    <xf numFmtId="0" fontId="11" fillId="4" borderId="16" xfId="0" applyFont="1" applyFill="1" applyBorder="1" applyAlignment="1">
      <alignment horizontal="center" vertical="center" wrapText="1"/>
    </xf>
    <xf numFmtId="0" fontId="17" fillId="4" borderId="15" xfId="0" quotePrefix="1" applyFont="1" applyFill="1" applyBorder="1" applyAlignment="1">
      <alignment horizontal="center" vertical="center" wrapText="1"/>
    </xf>
    <xf numFmtId="0" fontId="16" fillId="5" borderId="12" xfId="0" applyFont="1" applyFill="1" applyBorder="1" applyAlignment="1">
      <alignment horizontal="center" vertical="center"/>
    </xf>
    <xf numFmtId="0" fontId="18" fillId="4" borderId="20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47625</xdr:colOff>
      <xdr:row>2</xdr:row>
      <xdr:rowOff>19942</xdr:rowOff>
    </xdr:from>
    <xdr:to>
      <xdr:col>11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25"/>
  <sheetViews>
    <sheetView tabSelected="1" workbookViewId="0">
      <selection activeCell="C12" sqref="C12"/>
    </sheetView>
  </sheetViews>
  <sheetFormatPr defaultRowHeight="15" x14ac:dyDescent="0.25"/>
  <cols>
    <col min="2" max="2" width="3.140625" style="25" customWidth="1"/>
    <col min="3" max="3" width="36" bestFit="1" customWidth="1"/>
    <col min="4" max="4" width="19.28515625" bestFit="1" customWidth="1"/>
    <col min="5" max="5" width="26.5703125" bestFit="1" customWidth="1"/>
    <col min="6" max="6" width="33.42578125" bestFit="1" customWidth="1"/>
    <col min="7" max="7" width="21.42578125" bestFit="1" customWidth="1"/>
    <col min="8" max="8" width="21.42578125" customWidth="1"/>
    <col min="9" max="9" width="29.42578125" bestFit="1" customWidth="1"/>
    <col min="10" max="12" width="29.42578125" customWidth="1"/>
  </cols>
  <sheetData>
    <row r="1" spans="1:12" ht="15.75" thickBot="1" x14ac:dyDescent="0.3">
      <c r="A1" s="1"/>
      <c r="B1" s="19"/>
      <c r="C1" s="2"/>
      <c r="D1" s="2"/>
      <c r="E1" s="2"/>
      <c r="F1" s="2"/>
      <c r="G1" s="2"/>
      <c r="H1" s="2"/>
      <c r="I1" s="59"/>
      <c r="J1" s="59"/>
      <c r="K1" s="59"/>
      <c r="L1" s="59"/>
    </row>
    <row r="2" spans="1:12" ht="32.25" thickBot="1" x14ac:dyDescent="0.3">
      <c r="A2" s="1"/>
      <c r="B2" s="20"/>
      <c r="C2" s="10" t="s">
        <v>0</v>
      </c>
      <c r="D2" s="10"/>
      <c r="E2" s="45" t="s">
        <v>7</v>
      </c>
      <c r="F2" s="11"/>
      <c r="G2" s="3"/>
      <c r="H2" s="3"/>
      <c r="I2" s="3"/>
      <c r="J2" s="3"/>
      <c r="K2" s="3"/>
      <c r="L2" s="42"/>
    </row>
    <row r="3" spans="1:12" x14ac:dyDescent="0.25">
      <c r="A3" s="1"/>
      <c r="B3" s="21"/>
      <c r="C3" s="12" t="s">
        <v>1</v>
      </c>
      <c r="D3" s="12"/>
      <c r="E3" s="46" t="s">
        <v>8</v>
      </c>
      <c r="F3" s="12"/>
      <c r="G3" s="4"/>
      <c r="H3" s="4"/>
      <c r="I3" s="4"/>
      <c r="J3" s="4"/>
      <c r="K3" s="4"/>
      <c r="L3" s="60"/>
    </row>
    <row r="4" spans="1:12" x14ac:dyDescent="0.25">
      <c r="A4" s="1"/>
      <c r="B4" s="21"/>
      <c r="C4" s="12" t="s">
        <v>2</v>
      </c>
      <c r="D4" s="12"/>
      <c r="E4" s="47" t="s">
        <v>8</v>
      </c>
      <c r="F4" s="13"/>
      <c r="G4" s="6"/>
      <c r="H4" s="6"/>
      <c r="I4" s="6"/>
      <c r="J4" s="6"/>
      <c r="K4" s="6"/>
      <c r="L4" s="61"/>
    </row>
    <row r="5" spans="1:12" x14ac:dyDescent="0.25">
      <c r="A5" s="1"/>
      <c r="B5" s="21"/>
      <c r="C5" s="12" t="s">
        <v>3</v>
      </c>
      <c r="D5" s="12"/>
      <c r="E5" s="48" t="s">
        <v>9</v>
      </c>
      <c r="F5" s="14"/>
      <c r="G5" s="5"/>
      <c r="H5" s="5"/>
      <c r="I5" s="5"/>
      <c r="J5" s="5"/>
      <c r="K5" s="5"/>
      <c r="L5" s="61"/>
    </row>
    <row r="6" spans="1:12" x14ac:dyDescent="0.25">
      <c r="A6" s="1"/>
      <c r="B6" s="22"/>
      <c r="C6" s="15"/>
      <c r="D6" s="15"/>
      <c r="E6" s="16"/>
      <c r="F6" s="14"/>
      <c r="G6" s="5"/>
      <c r="H6" s="5"/>
      <c r="I6" s="5"/>
      <c r="J6" s="5"/>
      <c r="K6" s="5"/>
      <c r="L6" s="61"/>
    </row>
    <row r="7" spans="1:12" x14ac:dyDescent="0.25">
      <c r="A7" s="1"/>
      <c r="B7" s="23"/>
      <c r="C7" s="17"/>
      <c r="D7" s="17"/>
      <c r="E7" s="18"/>
      <c r="F7" s="17"/>
      <c r="G7" s="7"/>
      <c r="H7" s="7"/>
      <c r="I7" s="7"/>
      <c r="J7" s="7"/>
      <c r="K7" s="7"/>
      <c r="L7" s="61"/>
    </row>
    <row r="8" spans="1:12" ht="15.75" thickBot="1" x14ac:dyDescent="0.3">
      <c r="A8" s="1"/>
      <c r="B8" s="26"/>
      <c r="C8" s="27"/>
      <c r="D8" s="27"/>
      <c r="E8" s="28"/>
      <c r="F8" s="17"/>
      <c r="G8" s="7"/>
      <c r="H8" s="7"/>
      <c r="I8" s="7"/>
      <c r="J8" s="7"/>
      <c r="K8" s="7"/>
      <c r="L8" s="61"/>
    </row>
    <row r="9" spans="1:12" ht="15.75" thickBot="1" x14ac:dyDescent="0.3">
      <c r="A9" s="1"/>
      <c r="B9" s="29" t="s">
        <v>4</v>
      </c>
      <c r="C9" s="29" t="s">
        <v>10</v>
      </c>
      <c r="D9" s="30" t="s">
        <v>25</v>
      </c>
      <c r="E9" s="29" t="s">
        <v>40</v>
      </c>
      <c r="F9" s="30" t="s">
        <v>50</v>
      </c>
      <c r="G9" s="29" t="s">
        <v>59</v>
      </c>
      <c r="H9" s="52" t="s">
        <v>76</v>
      </c>
      <c r="I9" s="29" t="s">
        <v>68</v>
      </c>
      <c r="J9" s="57" t="s">
        <v>96</v>
      </c>
      <c r="K9" s="52" t="s">
        <v>98</v>
      </c>
      <c r="L9" s="29" t="s">
        <v>92</v>
      </c>
    </row>
    <row r="10" spans="1:12" ht="24.75" thickBot="1" x14ac:dyDescent="0.3">
      <c r="A10" s="1"/>
      <c r="B10" s="31">
        <f>ROW(B10) - ROW($B$9)</f>
        <v>1</v>
      </c>
      <c r="C10" s="37" t="s">
        <v>11</v>
      </c>
      <c r="D10" s="38" t="s">
        <v>26</v>
      </c>
      <c r="E10" s="37" t="s">
        <v>41</v>
      </c>
      <c r="F10" s="38" t="s">
        <v>51</v>
      </c>
      <c r="G10" s="37" t="s">
        <v>60</v>
      </c>
      <c r="H10" s="49" t="s">
        <v>77</v>
      </c>
      <c r="I10" s="37" t="s">
        <v>97</v>
      </c>
      <c r="J10" s="37">
        <v>1</v>
      </c>
      <c r="K10" s="37">
        <v>60</v>
      </c>
      <c r="L10" s="37"/>
    </row>
    <row r="11" spans="1:12" ht="24.75" thickBot="1" x14ac:dyDescent="0.3">
      <c r="A11" s="1"/>
      <c r="B11" s="31">
        <f t="shared" ref="B11:B23" si="0">ROW(B11) - ROW($B$9)</f>
        <v>2</v>
      </c>
      <c r="C11" s="39" t="s">
        <v>12</v>
      </c>
      <c r="D11" s="40" t="s">
        <v>27</v>
      </c>
      <c r="E11" s="39" t="s">
        <v>42</v>
      </c>
      <c r="F11" s="55" t="s">
        <v>93</v>
      </c>
      <c r="G11" s="39" t="s">
        <v>61</v>
      </c>
      <c r="H11" s="50" t="s">
        <v>78</v>
      </c>
      <c r="I11" s="39" t="s">
        <v>69</v>
      </c>
      <c r="J11" s="39">
        <v>1</v>
      </c>
      <c r="K11" s="39">
        <v>50</v>
      </c>
      <c r="L11" s="39"/>
    </row>
    <row r="12" spans="1:12" ht="24.75" thickBot="1" x14ac:dyDescent="0.3">
      <c r="A12" s="1"/>
      <c r="B12" s="31">
        <f>ROW(B12) - ROW($B$9)</f>
        <v>3</v>
      </c>
      <c r="C12" s="37" t="s">
        <v>13</v>
      </c>
      <c r="D12" s="38" t="s">
        <v>28</v>
      </c>
      <c r="E12" s="37" t="s">
        <v>42</v>
      </c>
      <c r="F12" s="38" t="s">
        <v>94</v>
      </c>
      <c r="G12" s="37" t="s">
        <v>62</v>
      </c>
      <c r="H12" s="38" t="s">
        <v>79</v>
      </c>
      <c r="I12" s="37" t="s">
        <v>70</v>
      </c>
      <c r="J12" s="37">
        <v>1</v>
      </c>
      <c r="K12" s="37">
        <v>100</v>
      </c>
      <c r="L12" s="37"/>
    </row>
    <row r="13" spans="1:12" ht="24.75" thickBot="1" x14ac:dyDescent="0.3">
      <c r="A13" s="1"/>
      <c r="B13" s="31">
        <f t="shared" si="0"/>
        <v>4</v>
      </c>
      <c r="C13" s="39" t="s">
        <v>14</v>
      </c>
      <c r="D13" s="40" t="s">
        <v>29</v>
      </c>
      <c r="E13" s="39" t="s">
        <v>42</v>
      </c>
      <c r="F13" s="40" t="s">
        <v>52</v>
      </c>
      <c r="G13" s="39" t="s">
        <v>62</v>
      </c>
      <c r="H13" s="50" t="s">
        <v>80</v>
      </c>
      <c r="I13" s="39" t="s">
        <v>71</v>
      </c>
      <c r="J13" s="39">
        <v>1</v>
      </c>
      <c r="K13" s="58">
        <v>50</v>
      </c>
      <c r="L13" s="39"/>
    </row>
    <row r="14" spans="1:12" ht="72.75" thickBot="1" x14ac:dyDescent="0.3">
      <c r="A14" s="1"/>
      <c r="B14" s="31">
        <f>ROW(B14) - ROW($B$9)</f>
        <v>5</v>
      </c>
      <c r="C14" s="37" t="s">
        <v>15</v>
      </c>
      <c r="D14" s="38" t="s">
        <v>30</v>
      </c>
      <c r="E14" s="37" t="s">
        <v>43</v>
      </c>
      <c r="F14" s="38" t="s">
        <v>53</v>
      </c>
      <c r="G14" s="37" t="s">
        <v>95</v>
      </c>
      <c r="H14" s="38" t="s">
        <v>81</v>
      </c>
      <c r="I14" s="53" t="s">
        <v>91</v>
      </c>
      <c r="J14" s="37">
        <v>2</v>
      </c>
      <c r="K14" s="37">
        <v>100</v>
      </c>
      <c r="L14" s="37"/>
    </row>
    <row r="15" spans="1:12" ht="24.75" thickBot="1" x14ac:dyDescent="0.3">
      <c r="A15" s="1"/>
      <c r="B15" s="31">
        <f t="shared" si="0"/>
        <v>6</v>
      </c>
      <c r="C15" s="39" t="s">
        <v>16</v>
      </c>
      <c r="D15" s="40" t="s">
        <v>31</v>
      </c>
      <c r="E15" s="39" t="s">
        <v>44</v>
      </c>
      <c r="F15" s="40" t="s">
        <v>44</v>
      </c>
      <c r="G15" s="39" t="s">
        <v>63</v>
      </c>
      <c r="H15" s="40" t="s">
        <v>82</v>
      </c>
      <c r="I15" s="54" t="s">
        <v>91</v>
      </c>
      <c r="J15" s="39">
        <v>1</v>
      </c>
      <c r="K15" s="39">
        <v>42</v>
      </c>
      <c r="L15" s="39"/>
    </row>
    <row r="16" spans="1:12" ht="24.75" thickBot="1" x14ac:dyDescent="0.3">
      <c r="A16" s="1"/>
      <c r="B16" s="31">
        <f>ROW(B16) - ROW($B$9)</f>
        <v>7</v>
      </c>
      <c r="C16" s="37" t="s">
        <v>17</v>
      </c>
      <c r="D16" s="38" t="s">
        <v>32</v>
      </c>
      <c r="E16" s="37" t="s">
        <v>45</v>
      </c>
      <c r="F16" s="51" t="s">
        <v>83</v>
      </c>
      <c r="G16" s="53" t="s">
        <v>91</v>
      </c>
      <c r="H16" s="51" t="s">
        <v>83</v>
      </c>
      <c r="I16" s="53" t="s">
        <v>91</v>
      </c>
      <c r="J16" s="37">
        <v>1</v>
      </c>
      <c r="K16" s="53" t="s">
        <v>89</v>
      </c>
      <c r="L16" s="53" t="s">
        <v>83</v>
      </c>
    </row>
    <row r="17" spans="1:12" ht="36.75" thickBot="1" x14ac:dyDescent="0.3">
      <c r="A17" s="1"/>
      <c r="B17" s="31">
        <f t="shared" si="0"/>
        <v>8</v>
      </c>
      <c r="C17" s="39" t="s">
        <v>18</v>
      </c>
      <c r="D17" s="40" t="s">
        <v>33</v>
      </c>
      <c r="E17" s="39" t="s">
        <v>46</v>
      </c>
      <c r="F17" s="40" t="s">
        <v>54</v>
      </c>
      <c r="G17" s="39" t="s">
        <v>62</v>
      </c>
      <c r="H17" s="40" t="s">
        <v>84</v>
      </c>
      <c r="I17" s="39" t="s">
        <v>72</v>
      </c>
      <c r="J17" s="39">
        <v>1</v>
      </c>
      <c r="K17" s="39">
        <v>100</v>
      </c>
      <c r="L17" s="39"/>
    </row>
    <row r="18" spans="1:12" ht="24.75" thickBot="1" x14ac:dyDescent="0.3">
      <c r="A18" s="1"/>
      <c r="B18" s="31">
        <f>ROW(B18) - ROW($B$9)</f>
        <v>9</v>
      </c>
      <c r="C18" s="37" t="s">
        <v>19</v>
      </c>
      <c r="D18" s="38" t="s">
        <v>34</v>
      </c>
      <c r="E18" s="37" t="s">
        <v>46</v>
      </c>
      <c r="F18" s="38" t="s">
        <v>55</v>
      </c>
      <c r="G18" s="37" t="s">
        <v>62</v>
      </c>
      <c r="H18" s="38" t="s">
        <v>85</v>
      </c>
      <c r="I18" s="37" t="s">
        <v>73</v>
      </c>
      <c r="J18" s="37">
        <v>5</v>
      </c>
      <c r="K18" s="37">
        <v>300</v>
      </c>
      <c r="L18" s="37"/>
    </row>
    <row r="19" spans="1:12" ht="60.75" thickBot="1" x14ac:dyDescent="0.3">
      <c r="A19" s="1"/>
      <c r="B19" s="31">
        <f t="shared" si="0"/>
        <v>10</v>
      </c>
      <c r="C19" s="39" t="s">
        <v>20</v>
      </c>
      <c r="D19" s="40" t="s">
        <v>35</v>
      </c>
      <c r="E19" s="39" t="s">
        <v>46</v>
      </c>
      <c r="F19" s="40" t="s">
        <v>99</v>
      </c>
      <c r="G19" s="39" t="s">
        <v>64</v>
      </c>
      <c r="H19" s="40" t="s">
        <v>86</v>
      </c>
      <c r="I19" s="39" t="s">
        <v>74</v>
      </c>
      <c r="J19" s="39">
        <v>2</v>
      </c>
      <c r="K19" s="39">
        <v>100</v>
      </c>
      <c r="L19" s="39"/>
    </row>
    <row r="20" spans="1:12" ht="24.75" thickBot="1" x14ac:dyDescent="0.3">
      <c r="A20" s="1"/>
      <c r="B20" s="31">
        <f>ROW(B20) - ROW($B$9)</f>
        <v>11</v>
      </c>
      <c r="C20" s="37" t="s">
        <v>21</v>
      </c>
      <c r="D20" s="38" t="s">
        <v>36</v>
      </c>
      <c r="E20" s="37" t="s">
        <v>47</v>
      </c>
      <c r="F20" s="38" t="s">
        <v>47</v>
      </c>
      <c r="G20" s="37" t="s">
        <v>65</v>
      </c>
      <c r="H20" s="38" t="s">
        <v>87</v>
      </c>
      <c r="I20" s="53" t="s">
        <v>91</v>
      </c>
      <c r="J20" s="37">
        <v>1</v>
      </c>
      <c r="K20" s="37">
        <v>45</v>
      </c>
      <c r="L20" s="37"/>
    </row>
    <row r="21" spans="1:12" ht="24.75" thickBot="1" x14ac:dyDescent="0.3">
      <c r="A21" s="1"/>
      <c r="B21" s="31">
        <f t="shared" si="0"/>
        <v>12</v>
      </c>
      <c r="C21" s="39" t="s">
        <v>22</v>
      </c>
      <c r="D21" s="40" t="s">
        <v>37</v>
      </c>
      <c r="E21" s="39" t="s">
        <v>46</v>
      </c>
      <c r="F21" s="40" t="s">
        <v>56</v>
      </c>
      <c r="G21" s="39" t="s">
        <v>62</v>
      </c>
      <c r="H21" s="40" t="s">
        <v>88</v>
      </c>
      <c r="I21" s="39" t="s">
        <v>75</v>
      </c>
      <c r="J21" s="39">
        <v>1</v>
      </c>
      <c r="K21" s="39">
        <v>100</v>
      </c>
      <c r="L21" s="39"/>
    </row>
    <row r="22" spans="1:12" ht="24.75" thickBot="1" x14ac:dyDescent="0.3">
      <c r="A22" s="1"/>
      <c r="B22" s="31">
        <f>ROW(B22) - ROW($B$9)</f>
        <v>13</v>
      </c>
      <c r="C22" s="37" t="s">
        <v>23</v>
      </c>
      <c r="D22" s="38" t="s">
        <v>38</v>
      </c>
      <c r="E22" s="37" t="s">
        <v>48</v>
      </c>
      <c r="F22" s="38" t="s">
        <v>57</v>
      </c>
      <c r="G22" s="37" t="s">
        <v>66</v>
      </c>
      <c r="H22" s="51" t="s">
        <v>89</v>
      </c>
      <c r="I22" s="53" t="s">
        <v>91</v>
      </c>
      <c r="J22" s="37">
        <v>1</v>
      </c>
      <c r="K22" s="37">
        <v>42</v>
      </c>
      <c r="L22" s="37"/>
    </row>
    <row r="23" spans="1:12" ht="24.75" thickBot="1" x14ac:dyDescent="0.3">
      <c r="A23" s="1"/>
      <c r="B23" s="31">
        <f t="shared" si="0"/>
        <v>14</v>
      </c>
      <c r="C23" s="39" t="s">
        <v>24</v>
      </c>
      <c r="D23" s="40" t="s">
        <v>39</v>
      </c>
      <c r="E23" s="39" t="s">
        <v>49</v>
      </c>
      <c r="F23" s="40" t="s">
        <v>58</v>
      </c>
      <c r="G23" s="39" t="s">
        <v>67</v>
      </c>
      <c r="H23" s="40" t="s">
        <v>90</v>
      </c>
      <c r="I23" s="56" t="s">
        <v>91</v>
      </c>
      <c r="J23" s="39">
        <v>1</v>
      </c>
      <c r="K23" s="39">
        <v>42</v>
      </c>
      <c r="L23" s="41"/>
    </row>
    <row r="24" spans="1:12" x14ac:dyDescent="0.25">
      <c r="A24" s="1"/>
      <c r="B24" s="32"/>
      <c r="C24" s="33" t="s">
        <v>5</v>
      </c>
      <c r="D24" s="34"/>
      <c r="E24" s="35"/>
      <c r="F24" s="36"/>
      <c r="G24" s="35"/>
      <c r="H24" s="35"/>
      <c r="I24" s="36"/>
      <c r="J24" s="36"/>
      <c r="K24" s="36"/>
      <c r="L24" s="43"/>
    </row>
    <row r="25" spans="1:12" ht="15.75" thickBot="1" x14ac:dyDescent="0.3">
      <c r="A25" s="1"/>
      <c r="B25" s="24"/>
      <c r="C25" s="8" t="s">
        <v>6</v>
      </c>
      <c r="D25" s="9"/>
      <c r="E25" s="9"/>
      <c r="F25" s="9"/>
      <c r="G25" s="9"/>
      <c r="H25" s="9"/>
      <c r="I25" s="9"/>
      <c r="J25" s="9"/>
      <c r="K25" s="9"/>
      <c r="L25" s="44"/>
    </row>
  </sheetData>
  <mergeCells count="2">
    <mergeCell ref="I1:L1"/>
    <mergeCell ref="L3:L8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2022-06-24T14:18:08Z</dcterms:modified>
</cp:coreProperties>
</file>