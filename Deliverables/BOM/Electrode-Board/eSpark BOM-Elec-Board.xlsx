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ManarHarake-sEMGDevice\Deliverables\BOM\Electrode-Board\"/>
    </mc:Choice>
  </mc:AlternateContent>
  <xr:revisionPtr revIDLastSave="0" documentId="13_ncr:1_{B1CB4E3D-CC6A-4D71-B5F2-46B4D65601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1" l="1"/>
  <c r="Q26" i="1" s="1"/>
  <c r="Q27" i="1" s="1"/>
  <c r="M25" i="1"/>
  <c r="B25" i="1"/>
  <c r="Q24" i="1"/>
  <c r="M24" i="1"/>
  <c r="B24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M17" i="1"/>
  <c r="B17" i="1"/>
  <c r="M16" i="1"/>
  <c r="B16" i="1"/>
  <c r="Q15" i="1"/>
  <c r="M15" i="1"/>
  <c r="B15" i="1"/>
  <c r="Q14" i="1"/>
  <c r="M14" i="1"/>
  <c r="B14" i="1"/>
  <c r="Q13" i="1"/>
  <c r="M13" i="1"/>
  <c r="B13" i="1"/>
  <c r="Q10" i="1"/>
  <c r="M10" i="1"/>
  <c r="B10" i="1"/>
  <c r="Q12" i="1"/>
  <c r="M12" i="1"/>
  <c r="B12" i="1"/>
  <c r="Q11" i="1"/>
  <c r="M11" i="1"/>
  <c r="B11" i="1"/>
</calcChain>
</file>

<file path=xl/sharedStrings.xml><?xml version="1.0" encoding="utf-8"?>
<sst xmlns="http://schemas.openxmlformats.org/spreadsheetml/2006/main" count="194" uniqueCount="125">
  <si>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</si>
  <si>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</si>
  <si>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</si>
  <si>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</si>
  <si>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</si>
  <si>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</si>
  <si>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</si>
  <si>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</si>
  <si>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</si>
  <si>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</si>
  <si>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FFC Connector</t>
  </si>
  <si>
    <t>LED</t>
  </si>
  <si>
    <t>TEST POINT</t>
  </si>
  <si>
    <t>Resistor</t>
  </si>
  <si>
    <t>Trimmer</t>
  </si>
  <si>
    <t>IC</t>
  </si>
  <si>
    <t>Designator</t>
  </si>
  <si>
    <t>C2, C6</t>
  </si>
  <si>
    <t>C3</t>
  </si>
  <si>
    <t>D1, D2</t>
  </si>
  <si>
    <t>J1</t>
  </si>
  <si>
    <t>LED1</t>
  </si>
  <si>
    <t>P1</t>
  </si>
  <si>
    <t>P2, P3</t>
  </si>
  <si>
    <t>R1</t>
  </si>
  <si>
    <t>R2, R3, R4, R5, R6</t>
  </si>
  <si>
    <t>R7, R8</t>
  </si>
  <si>
    <t>R9</t>
  </si>
  <si>
    <t>R10, R11</t>
  </si>
  <si>
    <t>SB1, SB2, SB3, SB4, SB5, SB6</t>
  </si>
  <si>
    <t>U1</t>
  </si>
  <si>
    <t>U2</t>
  </si>
  <si>
    <t>Description</t>
  </si>
  <si>
    <t>CAP CER 0.1UF 50V X7R 0402</t>
  </si>
  <si>
    <t>CAP CER 10000PF 50V X7R 0402</t>
  </si>
  <si>
    <t>CAP CER 1UF 16V X5R 0402</t>
  </si>
  <si>
    <t>100V -55℃~+150℃@(Tj) 400mW Single 1.25V@150mA 4ns 1μA@75V 200mA SOD-323 Switching Diode ROHS</t>
  </si>
  <si>
    <t>CONN FFC BOTTOM 6POS 0.50MM R/A</t>
  </si>
  <si>
    <t>0603(H=0.4mm) λD=600.5~612.5nm VR=5V VF=1.7V~2.2V IF=25mA PD=60mW</t>
  </si>
  <si>
    <t>Sensor Connecting Pads</t>
  </si>
  <si>
    <t>Test Point ON</t>
  </si>
  <si>
    <t>RES 240 OHM 1% 1/16W 0402</t>
  </si>
  <si>
    <t>RES SMD 0402 150kOhm 5% Paper T/R</t>
  </si>
  <si>
    <t>1/16W 50V ±1% ±200ppm/℃ -55℃~+155℃ 80.6kΩ 0402 Chip Resistor - Surface Mount ROHS</t>
  </si>
  <si>
    <t>TRIMMER 100K OHM 0.1W J LEAD TOP</t>
  </si>
  <si>
    <t>RES 1K OHM 5% 1/16W 0402</t>
  </si>
  <si>
    <t>Solder Bridge ON</t>
  </si>
  <si>
    <t>IC OPAMP INSTR 825KHZ 8SOIC</t>
  </si>
  <si>
    <t>IC OPAMP JFET 4 CIRCUIT 14TSSOP</t>
  </si>
  <si>
    <t>Footprint</t>
  </si>
  <si>
    <t>Cap-0402</t>
  </si>
  <si>
    <t>SOD-323</t>
  </si>
  <si>
    <t>FH19C-6S-0.5SH(10)_</t>
  </si>
  <si>
    <t>LED-0603</t>
  </si>
  <si>
    <t>sEMG-sensor</t>
  </si>
  <si>
    <t>Test-point</t>
  </si>
  <si>
    <t>Res-0402</t>
  </si>
  <si>
    <t>Res0402</t>
  </si>
  <si>
    <t>Solder Bridge</t>
  </si>
  <si>
    <t>SOIC-8</t>
  </si>
  <si>
    <t>14-TSSOP</t>
  </si>
  <si>
    <t>Manufacturer Part Number</t>
  </si>
  <si>
    <t>GRM155R71H104ME14D</t>
  </si>
  <si>
    <t>CC0402KRX7R9BB103</t>
  </si>
  <si>
    <t>CC0402KRX5R7BB105</t>
  </si>
  <si>
    <t>1N4148WS</t>
  </si>
  <si>
    <t>FH19C-6S-0.5SH(10)</t>
  </si>
  <si>
    <t>19-217/S2C-AQ1R1B/3T</t>
  </si>
  <si>
    <t>RC0402FR-07240RL</t>
  </si>
  <si>
    <t>RC0402JR-07150KL</t>
  </si>
  <si>
    <t>TC33X-2-104E</t>
  </si>
  <si>
    <t>RC0402JR-071KL</t>
  </si>
  <si>
    <t>AD8221ARZ-R7</t>
  </si>
  <si>
    <t>TL084CPWR</t>
  </si>
  <si>
    <t>Manufacturer</t>
  </si>
  <si>
    <t>Yageo</t>
  </si>
  <si>
    <t>Murata</t>
  </si>
  <si>
    <t>YFW</t>
  </si>
  <si>
    <t>Hirose</t>
  </si>
  <si>
    <t>Everlight</t>
  </si>
  <si>
    <t>FH</t>
  </si>
  <si>
    <t>Bourns</t>
  </si>
  <si>
    <t>Analog Devices</t>
  </si>
  <si>
    <t>Texas Instruments</t>
  </si>
  <si>
    <t>LCSC Part Number</t>
  </si>
  <si>
    <t>C182412</t>
  </si>
  <si>
    <t>C60133</t>
  </si>
  <si>
    <t>C325464</t>
  </si>
  <si>
    <t>C424651</t>
  </si>
  <si>
    <t>C146215</t>
  </si>
  <si>
    <t>C137919</t>
  </si>
  <si>
    <t>C719186</t>
  </si>
  <si>
    <t>C105637</t>
  </si>
  <si>
    <t>C13342</t>
  </si>
  <si>
    <t>1uF</t>
  </si>
  <si>
    <t>0.1uF</t>
  </si>
  <si>
    <t>10nF</t>
  </si>
  <si>
    <t>SEMG Sensor</t>
  </si>
  <si>
    <t>240R</t>
  </si>
  <si>
    <t>150K</t>
  </si>
  <si>
    <t>80.6K</t>
  </si>
  <si>
    <t>1K</t>
  </si>
  <si>
    <t>Quantity</t>
  </si>
  <si>
    <t>Alternate Part Number</t>
  </si>
  <si>
    <t>Value</t>
  </si>
  <si>
    <t>Quantity (5 Boards)</t>
  </si>
  <si>
    <t>MOQ (5 Boards)</t>
  </si>
  <si>
    <t>Links</t>
  </si>
  <si>
    <t>UnitCost (5 Boards)</t>
  </si>
  <si>
    <t>TotalCost (5 Boards)</t>
  </si>
  <si>
    <t>Remarks</t>
  </si>
  <si>
    <t>Reviewer Remarks</t>
  </si>
  <si>
    <t>Diode</t>
  </si>
  <si>
    <t>Custom</t>
  </si>
  <si>
    <t>-</t>
  </si>
  <si>
    <t>C1884546</t>
  </si>
  <si>
    <t>LCSC</t>
  </si>
  <si>
    <t>C1, C4, C5</t>
  </si>
  <si>
    <t>RC-02W8062FT</t>
  </si>
  <si>
    <t>C304637</t>
  </si>
  <si>
    <t>Bill of Materials for Project [Electrode_Board]</t>
  </si>
  <si>
    <t>Electrode_Board</t>
  </si>
  <si>
    <t>C114755</t>
  </si>
  <si>
    <t>ADTL084ARUZ-REEL</t>
  </si>
  <si>
    <t>C514366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</si>
</sst>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7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0" fillId="2" borderId="16" xfId="1" applyFill="1" applyBorder="1" applyAlignment="1">
      <alignment horizontal="center" vertical="center" wrapText="1"/>
    </xf>
    <xf numFmtId="0" fontId="20" fillId="2" borderId="17" xfId="1" applyFill="1" applyBorder="1" applyAlignment="1">
      <alignment horizontal="center" vertical="center" wrapText="1"/>
    </xf>
    <xf numFmtId="0" fontId="21" fillId="2" borderId="23" xfId="1" applyFont="1" applyFill="1" applyBorder="1" applyAlignment="1">
      <alignment horizontal="center" vertical="center"/>
    </xf>
    <xf numFmtId="165" fontId="22" fillId="2" borderId="23" xfId="0" applyNumberFormat="1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4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 applyProtection="1">
      <alignment horizontal="center" vertical="top"/>
      <protection locked="0"/>
    </xf>
    <xf numFmtId="0" fontId="19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Light-Emitting-Diodes-LED_Everlight-Elec-19-217-S2C-AQ1R1B-3T_C146215.html" TargetMode="External"/><Relationship Id="rId13" Type="http://schemas.openxmlformats.org/officeDocument/2006/relationships/hyperlink" Target="https://www.lcsc.com/product-detail/FET-InputAmplifiers_Analog-Devices-ADTL084ARUZ-REEL_C514366.html" TargetMode="External"/><Relationship Id="rId3" Type="http://schemas.openxmlformats.org/officeDocument/2006/relationships/hyperlink" Target="https://lcsc.com/product-detail/Multilayer-Ceramic-Capacitors-MLCC-SMD-SMT_YAGEO-CC0402KRX5R7BB105_C325464.html" TargetMode="External"/><Relationship Id="rId7" Type="http://schemas.openxmlformats.org/officeDocument/2006/relationships/hyperlink" Target="https://lcsc.com/product-detail/Chip-Resistor-Surface-Mount_YAGEO-RC0402JR-07150KL_C137919.html" TargetMode="External"/><Relationship Id="rId12" Type="http://schemas.openxmlformats.org/officeDocument/2006/relationships/hyperlink" Target="https://www.lcsc.com/product-detail/Instrumentation-OpAmps_Analog-Devices-AD8221ARZ-R7_C13342.html" TargetMode="External"/><Relationship Id="rId2" Type="http://schemas.openxmlformats.org/officeDocument/2006/relationships/hyperlink" Target="https://www.lcsc.com/product-detail/Multilayer-Ceramic-Capacitors-MLCC-SMD-SMT_Murata-Electronics-GRM155R71H104ME14D_C182412.html" TargetMode="External"/><Relationship Id="rId1" Type="http://schemas.openxmlformats.org/officeDocument/2006/relationships/hyperlink" Target="https://www.lcsc.com/product-detail/Switching-Diode_YFW-1N4148WS_C1884546.html" TargetMode="External"/><Relationship Id="rId6" Type="http://schemas.openxmlformats.org/officeDocument/2006/relationships/hyperlink" Target="https://lcsc.com/product-detail/Chip-Resistor-Surface-Mount_YAGEO-RC0402FR-07240RL_C114755.html" TargetMode="External"/><Relationship Id="rId11" Type="http://schemas.openxmlformats.org/officeDocument/2006/relationships/hyperlink" Target="https://lcsc.com/product-detail/Chip-Resistor-Surface-Mount_YAGEO-RC0402JR-071KL_C105637.html" TargetMode="External"/><Relationship Id="rId5" Type="http://schemas.openxmlformats.org/officeDocument/2006/relationships/hyperlink" Target="https://www.lcsc.com/product-detail/Chip-Resistor-Surface-Mount_FH-Guangdong-Fenghua-Advanced-Tech-RC-02W8062FT_C304637.html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lcsc.com/product-detail/Variable-Resistors-Potentiometers_BOURNS-TC33X-2-104E_C719186.html" TargetMode="External"/><Relationship Id="rId4" Type="http://schemas.openxmlformats.org/officeDocument/2006/relationships/hyperlink" Target="https://lcsc.com/product-detail/Multilayer-Ceramic-Capacitors-MLCC-SMD-SMT_YAGEO-CC0402KRX7R9BB103_C60133.html" TargetMode="External"/><Relationship Id="rId9" Type="http://schemas.openxmlformats.org/officeDocument/2006/relationships/hyperlink" Target="https://www.lcsc.com/product-detail/FFC-FPC-Connectors_HRS-Hirose-FH19C-6S-0-5SH-10_C424651.htm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7"/>
  <sheetViews>
    <sheetView tabSelected="1" topLeftCell="A5" workbookViewId="0">
      <selection activeCell="A10" sqref="A10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5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0.7109375" customWidth="1"/>
    <col min="16" max="16" width="18.28515625" bestFit="1" customWidth="1"/>
    <col min="17" max="17" width="18.8554687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6"/>
      <c r="L1" s="66"/>
      <c r="M1" s="66"/>
      <c r="N1" s="66"/>
      <c r="O1" s="66"/>
      <c r="P1" s="66"/>
      <c r="Q1" s="66"/>
      <c r="R1" s="66"/>
      <c r="S1" s="67"/>
    </row>
    <row r="2" spans="1:19" ht="32.25" thickBot="1" x14ac:dyDescent="0.3">
      <c r="A2" s="1"/>
      <c r="B2" s="21"/>
      <c r="C2" s="31"/>
      <c r="D2" s="11" t="s">
        <v>0</v>
      </c>
      <c r="E2" s="11"/>
      <c r="F2" s="52" t="s">
        <v>120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3" t="s">
        <v>121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8"/>
    </row>
    <row r="4" spans="1:19" x14ac:dyDescent="0.25">
      <c r="A4" s="1"/>
      <c r="B4" s="22"/>
      <c r="C4" s="32"/>
      <c r="D4" s="13" t="s">
        <v>2</v>
      </c>
      <c r="E4" s="13"/>
      <c r="F4" s="54" t="s">
        <v>121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9"/>
    </row>
    <row r="5" spans="1:19" x14ac:dyDescent="0.25">
      <c r="A5" s="1"/>
      <c r="B5" s="22"/>
      <c r="C5" s="32"/>
      <c r="D5" s="13" t="s">
        <v>3</v>
      </c>
      <c r="E5" s="13"/>
      <c r="F5" s="55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9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9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9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9"/>
    </row>
    <row r="9" spans="1:19" ht="15.75" thickBot="1" x14ac:dyDescent="0.3">
      <c r="A9" s="1"/>
      <c r="B9" s="30" t="s">
        <v>4</v>
      </c>
      <c r="C9" s="30" t="s">
        <v>8</v>
      </c>
      <c r="D9" s="30" t="s">
        <v>16</v>
      </c>
      <c r="E9" s="30" t="s">
        <v>32</v>
      </c>
      <c r="F9" s="30" t="s">
        <v>49</v>
      </c>
      <c r="G9" s="30" t="s">
        <v>61</v>
      </c>
      <c r="H9" s="30" t="s">
        <v>74</v>
      </c>
      <c r="I9" s="30" t="s">
        <v>103</v>
      </c>
      <c r="J9" s="30" t="s">
        <v>84</v>
      </c>
      <c r="K9" s="30" t="s">
        <v>104</v>
      </c>
      <c r="L9" s="30" t="s">
        <v>102</v>
      </c>
      <c r="M9" s="30" t="s">
        <v>105</v>
      </c>
      <c r="N9" s="30" t="s">
        <v>106</v>
      </c>
      <c r="O9" s="30" t="s">
        <v>107</v>
      </c>
      <c r="P9" s="30" t="s">
        <v>108</v>
      </c>
      <c r="Q9" s="30" t="s">
        <v>109</v>
      </c>
      <c r="R9" s="30" t="s">
        <v>110</v>
      </c>
      <c r="S9" s="30" t="s">
        <v>111</v>
      </c>
    </row>
    <row r="10" spans="1:19" x14ac:dyDescent="0.25">
      <c r="A10" s="1"/>
      <c r="B10" s="47">
        <f>ROW(B10) - ROW($B$9)</f>
        <v>1</v>
      </c>
      <c r="C10" s="61" t="s">
        <v>9</v>
      </c>
      <c r="D10" s="50" t="s">
        <v>117</v>
      </c>
      <c r="E10" s="50" t="s">
        <v>35</v>
      </c>
      <c r="F10" s="50" t="s">
        <v>50</v>
      </c>
      <c r="G10" s="50" t="s">
        <v>64</v>
      </c>
      <c r="H10" s="50" t="s">
        <v>75</v>
      </c>
      <c r="I10" s="50"/>
      <c r="J10" s="50" t="s">
        <v>87</v>
      </c>
      <c r="K10" s="50" t="s">
        <v>94</v>
      </c>
      <c r="L10" s="50">
        <v>3</v>
      </c>
      <c r="M10" s="50">
        <f t="shared" ref="M10" si="0">L10*5</f>
        <v>15</v>
      </c>
      <c r="N10" s="50">
        <v>100</v>
      </c>
      <c r="O10" s="59" t="s">
        <v>116</v>
      </c>
      <c r="P10" s="60">
        <v>4.5999999999999999E-3</v>
      </c>
      <c r="Q10" s="51">
        <f t="shared" ref="Q10" si="1">P10*N10</f>
        <v>0.45999999999999996</v>
      </c>
      <c r="R10" s="50"/>
      <c r="S10" s="56"/>
    </row>
    <row r="11" spans="1:19" x14ac:dyDescent="0.25">
      <c r="A11" s="1"/>
      <c r="B11" s="47">
        <f t="shared" ref="B11:B24" si="2">ROW(B11) - ROW($B$9)</f>
        <v>2</v>
      </c>
      <c r="C11" s="61" t="s">
        <v>9</v>
      </c>
      <c r="D11" s="50" t="s">
        <v>17</v>
      </c>
      <c r="E11" s="50" t="s">
        <v>33</v>
      </c>
      <c r="F11" s="50" t="s">
        <v>50</v>
      </c>
      <c r="G11" s="50" t="s">
        <v>62</v>
      </c>
      <c r="H11" s="50" t="s">
        <v>76</v>
      </c>
      <c r="I11" s="50" t="s">
        <v>114</v>
      </c>
      <c r="J11" s="50" t="s">
        <v>85</v>
      </c>
      <c r="K11" s="50" t="s">
        <v>95</v>
      </c>
      <c r="L11" s="50">
        <v>2</v>
      </c>
      <c r="M11" s="50">
        <f t="shared" ref="M11" si="3">L11*5</f>
        <v>10</v>
      </c>
      <c r="N11" s="50">
        <v>100</v>
      </c>
      <c r="O11" s="58" t="s">
        <v>116</v>
      </c>
      <c r="P11" s="51">
        <v>8.3000000000000001E-3</v>
      </c>
      <c r="Q11" s="51">
        <f t="shared" ref="Q11" si="4">P11*N11</f>
        <v>0.83</v>
      </c>
      <c r="R11" s="50"/>
      <c r="S11" s="50"/>
    </row>
    <row r="12" spans="1:19" x14ac:dyDescent="0.25">
      <c r="A12" s="1"/>
      <c r="B12" s="46">
        <f>ROW(B12) - ROW($B$9)</f>
        <v>3</v>
      </c>
      <c r="C12" s="62" t="s">
        <v>9</v>
      </c>
      <c r="D12" s="37" t="s">
        <v>18</v>
      </c>
      <c r="E12" s="37" t="s">
        <v>34</v>
      </c>
      <c r="F12" s="37" t="s">
        <v>50</v>
      </c>
      <c r="G12" s="37" t="s">
        <v>63</v>
      </c>
      <c r="H12" s="37" t="s">
        <v>75</v>
      </c>
      <c r="I12" s="37"/>
      <c r="J12" s="37" t="s">
        <v>86</v>
      </c>
      <c r="K12" s="37" t="s">
        <v>96</v>
      </c>
      <c r="L12" s="37">
        <v>1</v>
      </c>
      <c r="M12" s="37">
        <f>L12*5</f>
        <v>5</v>
      </c>
      <c r="N12" s="37">
        <v>100</v>
      </c>
      <c r="O12" s="57" t="s">
        <v>116</v>
      </c>
      <c r="P12" s="37">
        <v>8.0000000000000004E-4</v>
      </c>
      <c r="Q12" s="38">
        <f>P12*N12</f>
        <v>0.08</v>
      </c>
      <c r="R12" s="37"/>
      <c r="S12" s="56"/>
    </row>
    <row r="13" spans="1:19" ht="36" x14ac:dyDescent="0.25">
      <c r="A13" s="1"/>
      <c r="B13" s="46">
        <f>ROW(B13) - ROW($B$9)</f>
        <v>4</v>
      </c>
      <c r="C13" s="62" t="s">
        <v>112</v>
      </c>
      <c r="D13" s="37" t="s">
        <v>19</v>
      </c>
      <c r="E13" s="37" t="s">
        <v>36</v>
      </c>
      <c r="F13" s="37" t="s">
        <v>51</v>
      </c>
      <c r="G13" s="37" t="s">
        <v>65</v>
      </c>
      <c r="H13" s="37" t="s">
        <v>77</v>
      </c>
      <c r="I13" s="37" t="s">
        <v>114</v>
      </c>
      <c r="J13" s="37" t="s">
        <v>115</v>
      </c>
      <c r="K13" s="37" t="s">
        <v>114</v>
      </c>
      <c r="L13" s="37">
        <v>2</v>
      </c>
      <c r="M13" s="37">
        <f>L13*5</f>
        <v>10</v>
      </c>
      <c r="N13" s="37">
        <v>50</v>
      </c>
      <c r="O13" s="57" t="s">
        <v>116</v>
      </c>
      <c r="P13" s="38">
        <v>9.1999999999999998E-3</v>
      </c>
      <c r="Q13" s="38">
        <f>P13*N13</f>
        <v>0.45999999999999996</v>
      </c>
      <c r="R13" s="37"/>
      <c r="S13" s="56"/>
    </row>
    <row r="14" spans="1:19" x14ac:dyDescent="0.25">
      <c r="A14" s="1"/>
      <c r="B14" s="47">
        <f t="shared" si="2"/>
        <v>5</v>
      </c>
      <c r="C14" s="61" t="s">
        <v>10</v>
      </c>
      <c r="D14" s="50" t="s">
        <v>20</v>
      </c>
      <c r="E14" s="50" t="s">
        <v>37</v>
      </c>
      <c r="F14" s="50" t="s">
        <v>52</v>
      </c>
      <c r="G14" s="50" t="s">
        <v>66</v>
      </c>
      <c r="H14" s="50" t="s">
        <v>78</v>
      </c>
      <c r="I14" s="50" t="s">
        <v>114</v>
      </c>
      <c r="J14" s="50" t="s">
        <v>88</v>
      </c>
      <c r="K14" s="50" t="s">
        <v>114</v>
      </c>
      <c r="L14" s="50">
        <v>1</v>
      </c>
      <c r="M14" s="50">
        <f t="shared" ref="M14" si="5">L14*5</f>
        <v>5</v>
      </c>
      <c r="N14" s="50">
        <v>6</v>
      </c>
      <c r="O14" s="58" t="s">
        <v>116</v>
      </c>
      <c r="P14" s="51">
        <v>0.15190000000000001</v>
      </c>
      <c r="Q14" s="51">
        <f t="shared" ref="Q14" si="6">P14*N14</f>
        <v>0.91139999999999999</v>
      </c>
      <c r="R14" s="50"/>
      <c r="S14" s="56"/>
    </row>
    <row r="15" spans="1:19" ht="36" x14ac:dyDescent="0.25">
      <c r="A15" s="1"/>
      <c r="B15" s="46">
        <f>ROW(B15) - ROW($B$9)</f>
        <v>6</v>
      </c>
      <c r="C15" s="62" t="s">
        <v>11</v>
      </c>
      <c r="D15" s="37" t="s">
        <v>21</v>
      </c>
      <c r="E15" s="37" t="s">
        <v>38</v>
      </c>
      <c r="F15" s="37" t="s">
        <v>53</v>
      </c>
      <c r="G15" s="37" t="s">
        <v>67</v>
      </c>
      <c r="H15" s="37" t="s">
        <v>79</v>
      </c>
      <c r="I15" s="37" t="s">
        <v>114</v>
      </c>
      <c r="J15" s="37" t="s">
        <v>89</v>
      </c>
      <c r="K15" s="37" t="s">
        <v>114</v>
      </c>
      <c r="L15" s="37">
        <v>1</v>
      </c>
      <c r="M15" s="37">
        <f>L15*5</f>
        <v>5</v>
      </c>
      <c r="N15" s="37">
        <v>20</v>
      </c>
      <c r="O15" s="57" t="s">
        <v>116</v>
      </c>
      <c r="P15" s="38">
        <v>2.76E-2</v>
      </c>
      <c r="Q15" s="38">
        <f>P15*N15</f>
        <v>0.55200000000000005</v>
      </c>
      <c r="R15" s="37"/>
      <c r="S15" s="56"/>
    </row>
    <row r="16" spans="1:19" x14ac:dyDescent="0.25">
      <c r="A16" s="1"/>
      <c r="B16" s="47">
        <f t="shared" si="2"/>
        <v>7</v>
      </c>
      <c r="C16" s="61" t="s">
        <v>97</v>
      </c>
      <c r="D16" s="50" t="s">
        <v>22</v>
      </c>
      <c r="E16" s="50" t="s">
        <v>39</v>
      </c>
      <c r="F16" s="50" t="s">
        <v>113</v>
      </c>
      <c r="G16" s="50" t="s">
        <v>54</v>
      </c>
      <c r="H16" s="50" t="s">
        <v>114</v>
      </c>
      <c r="I16" s="50" t="s">
        <v>114</v>
      </c>
      <c r="J16" s="50" t="s">
        <v>114</v>
      </c>
      <c r="K16" s="50" t="s">
        <v>114</v>
      </c>
      <c r="L16" s="50">
        <v>1</v>
      </c>
      <c r="M16" s="50">
        <f t="shared" ref="M16" si="7">L16*5</f>
        <v>5</v>
      </c>
      <c r="N16" s="50" t="s">
        <v>114</v>
      </c>
      <c r="O16" s="50" t="s">
        <v>114</v>
      </c>
      <c r="P16" s="51" t="s">
        <v>114</v>
      </c>
      <c r="Q16" s="51" t="s">
        <v>114</v>
      </c>
      <c r="R16" s="50"/>
      <c r="S16" s="56"/>
    </row>
    <row r="17" spans="1:19" x14ac:dyDescent="0.25">
      <c r="A17" s="1"/>
      <c r="B17" s="46">
        <f>ROW(B17) - ROW($B$9)</f>
        <v>8</v>
      </c>
      <c r="C17" s="62" t="s">
        <v>12</v>
      </c>
      <c r="D17" s="37" t="s">
        <v>23</v>
      </c>
      <c r="E17" s="37" t="s">
        <v>40</v>
      </c>
      <c r="F17" s="37" t="s">
        <v>113</v>
      </c>
      <c r="G17" s="37" t="s">
        <v>55</v>
      </c>
      <c r="H17" s="50" t="s">
        <v>114</v>
      </c>
      <c r="I17" s="50" t="s">
        <v>114</v>
      </c>
      <c r="J17" s="50" t="s">
        <v>114</v>
      </c>
      <c r="K17" s="37" t="s">
        <v>114</v>
      </c>
      <c r="L17" s="37">
        <v>2</v>
      </c>
      <c r="M17" s="37">
        <f>L17*5</f>
        <v>10</v>
      </c>
      <c r="N17" s="50" t="s">
        <v>114</v>
      </c>
      <c r="O17" s="50" t="s">
        <v>114</v>
      </c>
      <c r="P17" s="51" t="s">
        <v>114</v>
      </c>
      <c r="Q17" s="51" t="s">
        <v>114</v>
      </c>
      <c r="R17" s="37"/>
      <c r="S17" s="56"/>
    </row>
    <row r="18" spans="1:19" x14ac:dyDescent="0.25">
      <c r="A18" s="1"/>
      <c r="B18" s="47">
        <f t="shared" si="2"/>
        <v>9</v>
      </c>
      <c r="C18" s="61" t="s">
        <v>13</v>
      </c>
      <c r="D18" s="50" t="s">
        <v>24</v>
      </c>
      <c r="E18" s="50" t="s">
        <v>41</v>
      </c>
      <c r="F18" s="50" t="s">
        <v>56</v>
      </c>
      <c r="G18" s="50" t="s">
        <v>68</v>
      </c>
      <c r="H18" s="50" t="s">
        <v>75</v>
      </c>
      <c r="I18" s="50" t="s">
        <v>114</v>
      </c>
      <c r="J18" s="50" t="s">
        <v>122</v>
      </c>
      <c r="K18" s="50" t="s">
        <v>98</v>
      </c>
      <c r="L18" s="50">
        <v>1</v>
      </c>
      <c r="M18" s="50">
        <f t="shared" ref="M18" si="8">L18*5</f>
        <v>5</v>
      </c>
      <c r="N18" s="50">
        <v>100</v>
      </c>
      <c r="O18" s="58" t="s">
        <v>116</v>
      </c>
      <c r="P18" s="51">
        <v>6.9999999999999999E-4</v>
      </c>
      <c r="Q18" s="51">
        <f t="shared" ref="Q18" si="9">P18*N18</f>
        <v>6.9999999999999993E-2</v>
      </c>
      <c r="R18" s="50"/>
      <c r="S18" s="56"/>
    </row>
    <row r="19" spans="1:19" x14ac:dyDescent="0.25">
      <c r="A19" s="1"/>
      <c r="B19" s="46">
        <f>ROW(B19) - ROW($B$9)</f>
        <v>10</v>
      </c>
      <c r="C19" s="62" t="s">
        <v>13</v>
      </c>
      <c r="D19" s="37" t="s">
        <v>25</v>
      </c>
      <c r="E19" s="37" t="s">
        <v>42</v>
      </c>
      <c r="F19" s="37" t="s">
        <v>56</v>
      </c>
      <c r="G19" s="37" t="s">
        <v>69</v>
      </c>
      <c r="H19" s="37" t="s">
        <v>75</v>
      </c>
      <c r="I19" s="37" t="s">
        <v>114</v>
      </c>
      <c r="J19" s="37" t="s">
        <v>90</v>
      </c>
      <c r="K19" s="37" t="s">
        <v>99</v>
      </c>
      <c r="L19" s="37">
        <v>5</v>
      </c>
      <c r="M19" s="37">
        <f>L19*5</f>
        <v>25</v>
      </c>
      <c r="N19" s="37">
        <v>100</v>
      </c>
      <c r="O19" s="57" t="s">
        <v>116</v>
      </c>
      <c r="P19" s="38">
        <v>2.5999999999999999E-3</v>
      </c>
      <c r="Q19" s="38">
        <f>P19*N19</f>
        <v>0.26</v>
      </c>
      <c r="R19" s="37"/>
      <c r="S19" s="56"/>
    </row>
    <row r="20" spans="1:19" ht="36" x14ac:dyDescent="0.25">
      <c r="A20" s="1"/>
      <c r="B20" s="47">
        <f t="shared" si="2"/>
        <v>11</v>
      </c>
      <c r="C20" s="61" t="s">
        <v>13</v>
      </c>
      <c r="D20" s="50" t="s">
        <v>26</v>
      </c>
      <c r="E20" s="50" t="s">
        <v>43</v>
      </c>
      <c r="F20" s="50" t="s">
        <v>57</v>
      </c>
      <c r="G20" s="50" t="s">
        <v>118</v>
      </c>
      <c r="H20" s="50" t="s">
        <v>80</v>
      </c>
      <c r="I20" s="50" t="s">
        <v>114</v>
      </c>
      <c r="J20" s="50" t="s">
        <v>119</v>
      </c>
      <c r="K20" s="50" t="s">
        <v>100</v>
      </c>
      <c r="L20" s="50">
        <v>2</v>
      </c>
      <c r="M20" s="50">
        <f t="shared" ref="M20" si="10">L20*5</f>
        <v>10</v>
      </c>
      <c r="N20" s="50">
        <v>100</v>
      </c>
      <c r="O20" s="58" t="s">
        <v>116</v>
      </c>
      <c r="P20" s="51">
        <v>4.0000000000000002E-4</v>
      </c>
      <c r="Q20" s="51">
        <f t="shared" ref="Q20" si="11">P20*N20</f>
        <v>0.04</v>
      </c>
      <c r="R20" s="50"/>
      <c r="S20" s="56"/>
    </row>
    <row r="21" spans="1:19" x14ac:dyDescent="0.25">
      <c r="A21" s="1"/>
      <c r="B21" s="46">
        <f>ROW(B21) - ROW($B$9)</f>
        <v>12</v>
      </c>
      <c r="C21" s="62" t="s">
        <v>14</v>
      </c>
      <c r="D21" s="37" t="s">
        <v>27</v>
      </c>
      <c r="E21" s="37" t="s">
        <v>44</v>
      </c>
      <c r="F21" s="37" t="s">
        <v>113</v>
      </c>
      <c r="G21" s="37" t="s">
        <v>70</v>
      </c>
      <c r="H21" s="37" t="s">
        <v>81</v>
      </c>
      <c r="I21" s="37"/>
      <c r="J21" s="37" t="s">
        <v>91</v>
      </c>
      <c r="K21" s="37" t="s">
        <v>114</v>
      </c>
      <c r="L21" s="37">
        <v>1</v>
      </c>
      <c r="M21" s="37">
        <f>L21*5</f>
        <v>5</v>
      </c>
      <c r="N21" s="37">
        <v>10</v>
      </c>
      <c r="O21" s="57" t="s">
        <v>116</v>
      </c>
      <c r="P21" s="38">
        <v>0.14280000000000001</v>
      </c>
      <c r="Q21" s="38">
        <f>P21*N21</f>
        <v>1.4280000000000002</v>
      </c>
      <c r="R21" s="37"/>
      <c r="S21" s="56"/>
    </row>
    <row r="22" spans="1:19" x14ac:dyDescent="0.25">
      <c r="A22" s="1"/>
      <c r="B22" s="47">
        <f t="shared" si="2"/>
        <v>13</v>
      </c>
      <c r="C22" s="61" t="s">
        <v>13</v>
      </c>
      <c r="D22" s="50" t="s">
        <v>28</v>
      </c>
      <c r="E22" s="50" t="s">
        <v>45</v>
      </c>
      <c r="F22" s="50" t="s">
        <v>56</v>
      </c>
      <c r="G22" s="50" t="s">
        <v>71</v>
      </c>
      <c r="H22" s="50" t="s">
        <v>75</v>
      </c>
      <c r="I22" s="50" t="s">
        <v>114</v>
      </c>
      <c r="J22" s="50" t="s">
        <v>92</v>
      </c>
      <c r="K22" s="50" t="s">
        <v>101</v>
      </c>
      <c r="L22" s="50">
        <v>2</v>
      </c>
      <c r="M22" s="50">
        <f t="shared" ref="M22" si="12">L22*5</f>
        <v>10</v>
      </c>
      <c r="N22" s="50">
        <v>100</v>
      </c>
      <c r="O22" s="58" t="s">
        <v>116</v>
      </c>
      <c r="P22" s="51">
        <v>5.0000000000000001E-4</v>
      </c>
      <c r="Q22" s="51">
        <f t="shared" ref="Q22" si="13">P22*N22</f>
        <v>0.05</v>
      </c>
      <c r="R22" s="50"/>
      <c r="S22" s="56"/>
    </row>
    <row r="23" spans="1:19" x14ac:dyDescent="0.25">
      <c r="A23" s="1"/>
      <c r="B23" s="46">
        <f>ROW(B23) - ROW($B$9)</f>
        <v>14</v>
      </c>
      <c r="C23" s="62" t="s">
        <v>58</v>
      </c>
      <c r="D23" s="37" t="s">
        <v>29</v>
      </c>
      <c r="E23" s="37" t="s">
        <v>46</v>
      </c>
      <c r="F23" s="37" t="s">
        <v>113</v>
      </c>
      <c r="G23" s="37" t="s">
        <v>58</v>
      </c>
      <c r="H23" s="50" t="s">
        <v>114</v>
      </c>
      <c r="I23" s="50" t="s">
        <v>114</v>
      </c>
      <c r="J23" s="50" t="s">
        <v>114</v>
      </c>
      <c r="K23" s="37" t="s">
        <v>114</v>
      </c>
      <c r="L23" s="37">
        <v>6</v>
      </c>
      <c r="M23" s="37">
        <f>L23*5</f>
        <v>30</v>
      </c>
      <c r="N23" s="50" t="s">
        <v>114</v>
      </c>
      <c r="O23" s="50" t="s">
        <v>114</v>
      </c>
      <c r="P23" s="51" t="s">
        <v>114</v>
      </c>
      <c r="Q23" s="51" t="s">
        <v>114</v>
      </c>
      <c r="R23" s="37"/>
      <c r="S23" s="56"/>
    </row>
    <row r="24" spans="1:19" x14ac:dyDescent="0.25">
      <c r="A24" s="1"/>
      <c r="B24" s="47">
        <f t="shared" si="2"/>
        <v>15</v>
      </c>
      <c r="C24" s="61" t="s">
        <v>15</v>
      </c>
      <c r="D24" s="50" t="s">
        <v>30</v>
      </c>
      <c r="E24" s="50" t="s">
        <v>47</v>
      </c>
      <c r="F24" s="50" t="s">
        <v>59</v>
      </c>
      <c r="G24" s="50" t="s">
        <v>72</v>
      </c>
      <c r="H24" s="50" t="s">
        <v>82</v>
      </c>
      <c r="I24" s="50" t="s">
        <v>114</v>
      </c>
      <c r="J24" s="50" t="s">
        <v>93</v>
      </c>
      <c r="K24" s="50" t="s">
        <v>114</v>
      </c>
      <c r="L24" s="50">
        <v>1</v>
      </c>
      <c r="M24" s="50">
        <f t="shared" ref="M24" si="14">L24*5</f>
        <v>5</v>
      </c>
      <c r="N24" s="50">
        <v>6</v>
      </c>
      <c r="O24" s="58" t="s">
        <v>116</v>
      </c>
      <c r="P24" s="51">
        <v>3.6273</v>
      </c>
      <c r="Q24" s="51">
        <f t="shared" ref="Q24" si="15">P24*N24</f>
        <v>21.7638</v>
      </c>
      <c r="R24" s="50"/>
      <c r="S24" s="56"/>
    </row>
    <row r="25" spans="1:19" s="64" customFormat="1" ht="15.75" thickBot="1" x14ac:dyDescent="0.3">
      <c r="A25" s="63"/>
      <c r="B25" s="46">
        <f>ROW(B25) - ROW($B$9)</f>
        <v>16</v>
      </c>
      <c r="C25" s="62" t="s">
        <v>15</v>
      </c>
      <c r="D25" s="37" t="s">
        <v>31</v>
      </c>
      <c r="E25" s="37" t="s">
        <v>48</v>
      </c>
      <c r="F25" s="37" t="s">
        <v>60</v>
      </c>
      <c r="G25" s="65" t="s">
        <v>73</v>
      </c>
      <c r="H25" s="37" t="s">
        <v>83</v>
      </c>
      <c r="I25" s="37" t="s">
        <v>123</v>
      </c>
      <c r="J25" s="37" t="s">
        <v>124</v>
      </c>
      <c r="K25" s="37" t="s">
        <v>114</v>
      </c>
      <c r="L25" s="37">
        <v>1</v>
      </c>
      <c r="M25" s="37">
        <f>L25*5</f>
        <v>5</v>
      </c>
      <c r="N25" s="37">
        <v>6</v>
      </c>
      <c r="O25" s="58" t="s">
        <v>116</v>
      </c>
      <c r="P25" s="51">
        <v>2.7364000000000002</v>
      </c>
      <c r="Q25" s="38">
        <f>P25*N25</f>
        <v>16.418400000000002</v>
      </c>
      <c r="R25" s="37"/>
      <c r="S25" s="39"/>
    </row>
    <row r="26" spans="1:19" ht="19.5" thickBot="1" x14ac:dyDescent="0.3">
      <c r="A26" s="1"/>
      <c r="B26" s="40"/>
      <c r="C26" s="41"/>
      <c r="D26" s="42"/>
      <c r="E26" s="43"/>
      <c r="F26" s="44"/>
      <c r="G26" s="45"/>
      <c r="H26" s="44"/>
      <c r="I26" s="45"/>
      <c r="J26" s="44"/>
      <c r="K26" s="45"/>
      <c r="L26" s="45"/>
      <c r="M26" s="45"/>
      <c r="N26" s="74" t="s">
        <v>5</v>
      </c>
      <c r="O26" s="75"/>
      <c r="P26" s="75"/>
      <c r="Q26" s="48">
        <f>SUM(Q10:Q25)</f>
        <v>43.323599999999999</v>
      </c>
      <c r="R26" s="70"/>
      <c r="S26" s="71"/>
    </row>
    <row r="27" spans="1:19" ht="19.5" thickBot="1" x14ac:dyDescent="0.3">
      <c r="A27" s="1"/>
      <c r="B27" s="25"/>
      <c r="C27" s="36"/>
      <c r="D27" s="9"/>
      <c r="E27" s="10"/>
      <c r="F27" s="10"/>
      <c r="G27" s="10"/>
      <c r="H27" s="10"/>
      <c r="I27" s="10"/>
      <c r="J27" s="10"/>
      <c r="K27" s="10"/>
      <c r="L27" s="10"/>
      <c r="M27" s="10"/>
      <c r="N27" s="74" t="s">
        <v>6</v>
      </c>
      <c r="O27" s="75"/>
      <c r="P27" s="75"/>
      <c r="Q27" s="49">
        <f>Q26/5</f>
        <v>8.6647199999999991</v>
      </c>
      <c r="R27" s="72"/>
      <c r="S27" s="73"/>
    </row>
  </sheetData>
  <mergeCells count="5">
    <mergeCell ref="K1:S1"/>
    <mergeCell ref="S3:S8"/>
    <mergeCell ref="R26:S27"/>
    <mergeCell ref="N26:P26"/>
    <mergeCell ref="N27:P27"/>
  </mergeCells>
  <hyperlinks>
    <hyperlink ref="O13" r:id="rId1" xr:uid="{0C214A69-19E9-45CB-85F2-4A977A1DA7C8}"/>
    <hyperlink ref="O11" r:id="rId2" xr:uid="{D5F0C5CC-EB2E-4C9A-B565-0772127DE7CB}"/>
    <hyperlink ref="O10" r:id="rId3" xr:uid="{97FEEA2D-1B83-45FA-8B10-DF8DD383CC95}"/>
    <hyperlink ref="O12" r:id="rId4" xr:uid="{82EB3781-25D0-4AF1-9C97-126D21CA9BC2}"/>
    <hyperlink ref="O20" r:id="rId5" xr:uid="{678ED7BF-3320-4204-ABFC-7769E31331C3}"/>
    <hyperlink ref="O18" r:id="rId6" xr:uid="{1C428129-B7C9-47E5-872E-F892FFC1C45D}"/>
    <hyperlink ref="O19" r:id="rId7" xr:uid="{2EFF97DD-26CC-4B16-A7E4-74CDF588ADA4}"/>
    <hyperlink ref="O15" r:id="rId8" xr:uid="{5C3DBB95-71B0-49A7-911C-656F700784C8}"/>
    <hyperlink ref="O14" r:id="rId9" xr:uid="{4D4426E4-4440-482A-9278-22D6162FA48C}"/>
    <hyperlink ref="O21" r:id="rId10" xr:uid="{3340CA2A-131D-4FA5-BC4E-F87D3A9186B7}"/>
    <hyperlink ref="O22" r:id="rId11" xr:uid="{0E8030B1-275A-4420-98A1-81DB616B376E}"/>
    <hyperlink ref="O24" r:id="rId12" xr:uid="{1BA455FD-A261-4975-BD7C-1CAAF9713683}"/>
    <hyperlink ref="O25" r:id="rId13" xr:uid="{1A54F865-99BD-42D9-84A0-17554B012B31}"/>
  </hyperlinks>
  <pageMargins left="0.7" right="0.7" top="0.75" bottom="0.75" header="0.3" footer="0.3"/>
  <pageSetup paperSize="9" orientation="portrait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2023-02-03T12:37:16Z</dcterms:modified>
</cp:coreProperties>
</file>