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Electrode-Board\"/>
    </mc:Choice>
  </mc:AlternateContent>
  <xr:revisionPtr revIDLastSave="0" documentId="13_ncr:1_{09F3D584-EE28-4626-88B7-18D6795E2A7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1" i="1" l="1"/>
  <c r="J12" i="1"/>
  <c r="J13" i="1"/>
  <c r="J14" i="1"/>
  <c r="J15" i="1"/>
  <c r="J16" i="1"/>
  <c r="J17" i="1"/>
  <c r="J18" i="1"/>
  <c r="J19" i="1"/>
  <c r="J20" i="1"/>
  <c r="J21" i="1"/>
  <c r="J22" i="1"/>
  <c r="J23" i="1"/>
  <c r="J10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<sst xmlns="http://schemas.openxmlformats.org/spreadsheetml/2006/main" count="99" uniqueCount="82">
  <si>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</si>
  <si>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</si>
  <si>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</si>
  <si>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</si>
  <si>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</si>
  <si>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</si>
  <si>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</si>
  <si>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</si>
  <si>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</si>
  <si>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</si>
  <si>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</si>
  <si>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</si>
  <si>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</si>
  <si>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</si>
  <si>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</si>
  <si>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</si>
  <si>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J1</t>
  </si>
  <si>
    <t>P1</t>
  </si>
  <si>
    <t>R1</t>
  </si>
  <si>
    <t>R2, R3, R4, R5, R6</t>
  </si>
  <si>
    <t>R7, R8</t>
  </si>
  <si>
    <t>R9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</si>
  <si>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</si>
  <si>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</si>
  <si>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</si>
  <si>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</si>
  <si>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</si>
  <si>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</si>
  <si>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</si>
  <si>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</si>
  <si>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</si>
  <si>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CONN FFC BOTTOM 6POS 0.50MM R/A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</si>
  <si>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</si>
  <si>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</si>
  <si>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</si>
  <si>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</si>
  <si>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</si>
  <si>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</si>
  <si>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</si>
  <si>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</si>
  <si>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</si>
  <si>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</si>
  <si>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</si>
  <si>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</si>
  <si>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FH19C-6S-0.5SH(10)</t>
  </si>
  <si>
    <t>sEMG sensor</t>
  </si>
  <si>
    <t>Res0402</t>
  </si>
  <si>
    <t>TC33X-2-104E</t>
  </si>
  <si>
    <t>SOIC-8</t>
  </si>
  <si>
    <t>14TSSOP</t>
  </si>
  <si>
    <t>Manufacturer Part Number</t>
  </si>
  <si>
    <t>CL10A106MA8NRNC</t>
  </si>
  <si>
    <t>GRM155R71H104ME14D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</si>
  <si>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</si>
  <si>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</si>
  <si>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</si>
  <si>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</si>
  <si>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</si>
  <si>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</si>
  <si>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</si>
  <si>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</si>
  <si>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</si>
  <si>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</si>
  <si>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</si>
  <si>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YFW</t>
  </si>
  <si>
    <t>Hirose</t>
  </si>
  <si>
    <t>FH</t>
  </si>
  <si>
    <t>Bourns</t>
  </si>
  <si>
    <t>Analog Devices</t>
  </si>
  <si>
    <t>Texas Instruments</t>
  </si>
  <si>
    <t>Comment</t>
  </si>
  <si>
    <t>10uF'</t>
  </si>
  <si>
    <t>0.1uF</t>
  </si>
  <si>
    <t>10nF</t>
  </si>
  <si>
    <t>1uF</t>
  </si>
  <si>
    <t>240R</t>
  </si>
  <si>
    <t>150K</t>
  </si>
  <si>
    <t>80.6K</t>
  </si>
  <si>
    <t>1K</t>
  </si>
  <si>
    <t>RC-02W8062FT</t>
  </si>
  <si>
    <t>Quantity Per Board</t>
  </si>
  <si>
    <t>Quantity 40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</si>
</sst>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2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3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2" fillId="5" borderId="13" xfId="0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4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47625</xdr:colOff>
      <xdr:row>2</xdr:row>
      <xdr:rowOff>10417</xdr:rowOff>
    </xdr:from>
    <xdr:to>
      <xdr:col>9</xdr:col>
      <xdr:colOff>1905000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906500" y="620017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5"/>
  <sheetViews>
    <sheetView tabSelected="1" workbookViewId="0">
      <selection activeCell="M11" sqref="M11"/>
    </sheetView>
  </sheetViews>
  <sheetFormatPr defaultRowHeight="15" x14ac:dyDescent="0.25"/>
  <cols>
    <col min="2" max="2" width="3.140625" style="25" customWidth="1"/>
    <col min="3" max="3" width="36" bestFit="1" customWidth="1"/>
    <col min="4" max="4" width="19.28515625" bestFit="1" customWidth="1"/>
    <col min="5" max="5" width="26.5703125" bestFit="1" customWidth="1"/>
    <col min="6" max="6" width="33.42578125" bestFit="1" customWidth="1"/>
    <col min="7" max="7" width="21.42578125" bestFit="1" customWidth="1"/>
    <col min="8" max="8" width="29.42578125" bestFit="1" customWidth="1"/>
    <col min="9" max="10" width="29.42578125" customWidth="1"/>
  </cols>
  <sheetData>
    <row r="1" spans="1:10" ht="15.75" thickBot="1" x14ac:dyDescent="0.3">
      <c r="A1" s="1"/>
      <c r="B1" s="19"/>
      <c r="C1" s="2"/>
      <c r="D1" s="2"/>
      <c r="E1" s="2"/>
      <c r="F1" s="2"/>
      <c r="G1" s="2"/>
      <c r="H1" s="47"/>
      <c r="I1" s="47"/>
      <c r="J1" s="47"/>
    </row>
    <row r="2" spans="1:10" ht="32.25" thickBot="1" x14ac:dyDescent="0.3">
      <c r="A2" s="1"/>
      <c r="B2" s="20"/>
      <c r="C2" s="10" t="s">
        <v>0</v>
      </c>
      <c r="D2" s="10"/>
      <c r="E2" s="42" t="s">
        <v>7</v>
      </c>
      <c r="F2" s="11"/>
      <c r="G2" s="3"/>
      <c r="H2" s="3"/>
      <c r="I2" s="3"/>
      <c r="J2" s="3"/>
    </row>
    <row r="3" spans="1:10" x14ac:dyDescent="0.25">
      <c r="A3" s="1"/>
      <c r="B3" s="21"/>
      <c r="C3" s="12" t="s">
        <v>1</v>
      </c>
      <c r="D3" s="12"/>
      <c r="E3" s="43" t="s">
        <v>8</v>
      </c>
      <c r="F3" s="12"/>
      <c r="G3" s="4"/>
      <c r="H3" s="4"/>
      <c r="I3" s="4"/>
      <c r="J3" s="48"/>
    </row>
    <row r="4" spans="1:10" x14ac:dyDescent="0.25">
      <c r="A4" s="1"/>
      <c r="B4" s="21"/>
      <c r="C4" s="12" t="s">
        <v>2</v>
      </c>
      <c r="D4" s="12"/>
      <c r="E4" s="44" t="s">
        <v>8</v>
      </c>
      <c r="F4" s="13"/>
      <c r="G4" s="6"/>
      <c r="H4" s="6"/>
      <c r="I4" s="6"/>
      <c r="J4" s="49"/>
    </row>
    <row r="5" spans="1:10" x14ac:dyDescent="0.25">
      <c r="A5" s="1"/>
      <c r="B5" s="21"/>
      <c r="C5" s="12" t="s">
        <v>3</v>
      </c>
      <c r="D5" s="12"/>
      <c r="E5" s="45" t="s">
        <v>9</v>
      </c>
      <c r="F5" s="14"/>
      <c r="G5" s="5"/>
      <c r="H5" s="5"/>
      <c r="I5" s="5"/>
      <c r="J5" s="49"/>
    </row>
    <row r="6" spans="1:10" x14ac:dyDescent="0.25">
      <c r="A6" s="1"/>
      <c r="B6" s="22"/>
      <c r="C6" s="15"/>
      <c r="D6" s="15"/>
      <c r="E6" s="16"/>
      <c r="F6" s="14"/>
      <c r="G6" s="5"/>
      <c r="H6" s="5"/>
      <c r="I6" s="5"/>
      <c r="J6" s="49"/>
    </row>
    <row r="7" spans="1:10" x14ac:dyDescent="0.25">
      <c r="A7" s="1"/>
      <c r="B7" s="23"/>
      <c r="C7" s="17"/>
      <c r="D7" s="17"/>
      <c r="E7" s="18"/>
      <c r="F7" s="17"/>
      <c r="G7" s="7"/>
      <c r="H7" s="7"/>
      <c r="I7" s="7"/>
      <c r="J7" s="49"/>
    </row>
    <row r="8" spans="1:10" ht="15.75" thickBot="1" x14ac:dyDescent="0.3">
      <c r="A8" s="1"/>
      <c r="B8" s="26"/>
      <c r="C8" s="27"/>
      <c r="D8" s="27"/>
      <c r="E8" s="28"/>
      <c r="F8" s="17"/>
      <c r="G8" s="7"/>
      <c r="H8" s="7"/>
      <c r="I8" s="7"/>
      <c r="J8" s="49"/>
    </row>
    <row r="9" spans="1:10" ht="15.75" thickBot="1" x14ac:dyDescent="0.3">
      <c r="A9" s="1"/>
      <c r="B9" s="29" t="s">
        <v>4</v>
      </c>
      <c r="C9" s="29" t="s">
        <v>10</v>
      </c>
      <c r="D9" s="30" t="s">
        <v>25</v>
      </c>
      <c r="E9" s="29" t="s">
        <v>40</v>
      </c>
      <c r="F9" s="30" t="s">
        <v>50</v>
      </c>
      <c r="G9" s="29" t="s">
        <v>60</v>
      </c>
      <c r="H9" s="30" t="s">
        <v>70</v>
      </c>
      <c r="I9" s="29" t="s">
        <v>80</v>
      </c>
      <c r="J9" s="29" t="s">
        <v>81</v>
      </c>
    </row>
    <row r="10" spans="1:10" ht="24.75" thickBot="1" x14ac:dyDescent="0.3">
      <c r="A10" s="1"/>
      <c r="B10" s="31">
        <f>ROW(B10) - ROW($B$9)</f>
        <v>1</v>
      </c>
      <c r="C10" s="37" t="s">
        <v>11</v>
      </c>
      <c r="D10" s="38" t="s">
        <v>26</v>
      </c>
      <c r="E10" s="37" t="s">
        <v>41</v>
      </c>
      <c r="F10" s="38" t="s">
        <v>51</v>
      </c>
      <c r="G10" s="37" t="s">
        <v>61</v>
      </c>
      <c r="H10" s="38" t="s">
        <v>71</v>
      </c>
      <c r="I10" s="37">
        <v>1</v>
      </c>
      <c r="J10" s="41">
        <f>I10*40</f>
        <v>40</v>
      </c>
    </row>
    <row r="11" spans="1:10" ht="24.75" thickBot="1" x14ac:dyDescent="0.3">
      <c r="A11" s="1"/>
      <c r="B11" s="31">
        <f t="shared" ref="B11:B23" si="0">ROW(B11) - ROW($B$9)</f>
        <v>2</v>
      </c>
      <c r="C11" s="39" t="s">
        <v>12</v>
      </c>
      <c r="D11" s="40" t="s">
        <v>27</v>
      </c>
      <c r="E11" s="39" t="s">
        <v>42</v>
      </c>
      <c r="F11" s="40" t="s">
        <v>52</v>
      </c>
      <c r="G11" s="39" t="s">
        <v>62</v>
      </c>
      <c r="H11" s="40" t="s">
        <v>72</v>
      </c>
      <c r="I11" s="39">
        <v>1</v>
      </c>
      <c r="J11" s="46">
        <f t="shared" ref="J11:J23" si="1">I11*40</f>
        <v>40</v>
      </c>
    </row>
    <row r="12" spans="1:10" ht="24.75" thickBot="1" x14ac:dyDescent="0.3">
      <c r="A12" s="1"/>
      <c r="B12" s="31">
        <f>ROW(B12) - ROW($B$9)</f>
        <v>3</v>
      </c>
      <c r="C12" s="37" t="s">
        <v>13</v>
      </c>
      <c r="D12" s="38" t="s">
        <v>28</v>
      </c>
      <c r="E12" s="37" t="s">
        <v>42</v>
      </c>
      <c r="F12" s="38"/>
      <c r="G12" s="37"/>
      <c r="H12" s="38" t="s">
        <v>73</v>
      </c>
      <c r="I12" s="37">
        <v>1</v>
      </c>
      <c r="J12" s="41">
        <f t="shared" si="1"/>
        <v>40</v>
      </c>
    </row>
    <row r="13" spans="1:10" ht="24.75" thickBot="1" x14ac:dyDescent="0.3">
      <c r="A13" s="1"/>
      <c r="B13" s="31">
        <f t="shared" si="0"/>
        <v>4</v>
      </c>
      <c r="C13" s="39" t="s">
        <v>14</v>
      </c>
      <c r="D13" s="40" t="s">
        <v>29</v>
      </c>
      <c r="E13" s="39" t="s">
        <v>42</v>
      </c>
      <c r="F13" s="40" t="s">
        <v>53</v>
      </c>
      <c r="G13" s="39" t="s">
        <v>63</v>
      </c>
      <c r="H13" s="40" t="s">
        <v>74</v>
      </c>
      <c r="I13" s="39">
        <v>1</v>
      </c>
      <c r="J13" s="46">
        <f t="shared" si="1"/>
        <v>40</v>
      </c>
    </row>
    <row r="14" spans="1:10" ht="72.75" thickBot="1" x14ac:dyDescent="0.3">
      <c r="A14" s="1"/>
      <c r="B14" s="31">
        <f>ROW(B14) - ROW($B$9)</f>
        <v>5</v>
      </c>
      <c r="C14" s="37" t="s">
        <v>15</v>
      </c>
      <c r="D14" s="38" t="s">
        <v>30</v>
      </c>
      <c r="E14" s="37" t="s">
        <v>43</v>
      </c>
      <c r="F14" s="38" t="s">
        <v>54</v>
      </c>
      <c r="G14" s="37" t="s">
        <v>64</v>
      </c>
      <c r="H14" s="38" t="s">
        <v>54</v>
      </c>
      <c r="I14" s="37">
        <v>2</v>
      </c>
      <c r="J14" s="41">
        <f t="shared" si="1"/>
        <v>80</v>
      </c>
    </row>
    <row r="15" spans="1:10" ht="24.75" thickBot="1" x14ac:dyDescent="0.3">
      <c r="A15" s="1"/>
      <c r="B15" s="31">
        <f t="shared" si="0"/>
        <v>6</v>
      </c>
      <c r="C15" s="39" t="s">
        <v>16</v>
      </c>
      <c r="D15" s="40" t="s">
        <v>31</v>
      </c>
      <c r="E15" s="39" t="s">
        <v>44</v>
      </c>
      <c r="F15" s="40" t="s">
        <v>44</v>
      </c>
      <c r="G15" s="39" t="s">
        <v>65</v>
      </c>
      <c r="H15" s="40" t="s">
        <v>44</v>
      </c>
      <c r="I15" s="39">
        <v>1</v>
      </c>
      <c r="J15" s="46">
        <f t="shared" si="1"/>
        <v>40</v>
      </c>
    </row>
    <row r="16" spans="1:10" ht="24.75" thickBot="1" x14ac:dyDescent="0.3">
      <c r="A16" s="1"/>
      <c r="B16" s="31">
        <f>ROW(B16) - ROW($B$9)</f>
        <v>7</v>
      </c>
      <c r="C16" s="37" t="s">
        <v>17</v>
      </c>
      <c r="D16" s="38" t="s">
        <v>32</v>
      </c>
      <c r="E16" s="37" t="s">
        <v>45</v>
      </c>
      <c r="F16" s="38"/>
      <c r="G16" s="37"/>
      <c r="H16" s="38" t="s">
        <v>45</v>
      </c>
      <c r="I16" s="37">
        <v>1</v>
      </c>
      <c r="J16" s="41">
        <f t="shared" si="1"/>
        <v>40</v>
      </c>
    </row>
    <row r="17" spans="1:10" ht="36.75" thickBot="1" x14ac:dyDescent="0.3">
      <c r="A17" s="1"/>
      <c r="B17" s="31">
        <f t="shared" si="0"/>
        <v>8</v>
      </c>
      <c r="C17" s="39" t="s">
        <v>18</v>
      </c>
      <c r="D17" s="40" t="s">
        <v>33</v>
      </c>
      <c r="E17" s="39" t="s">
        <v>46</v>
      </c>
      <c r="F17" s="40" t="s">
        <v>55</v>
      </c>
      <c r="G17" s="39" t="s">
        <v>63</v>
      </c>
      <c r="H17" s="40" t="s">
        <v>75</v>
      </c>
      <c r="I17" s="39">
        <v>1</v>
      </c>
      <c r="J17" s="46">
        <f t="shared" si="1"/>
        <v>40</v>
      </c>
    </row>
    <row r="18" spans="1:10" ht="24.75" thickBot="1" x14ac:dyDescent="0.3">
      <c r="A18" s="1"/>
      <c r="B18" s="31">
        <f>ROW(B18) - ROW($B$9)</f>
        <v>9</v>
      </c>
      <c r="C18" s="37" t="s">
        <v>19</v>
      </c>
      <c r="D18" s="38" t="s">
        <v>34</v>
      </c>
      <c r="E18" s="37" t="s">
        <v>46</v>
      </c>
      <c r="F18" s="38" t="s">
        <v>56</v>
      </c>
      <c r="G18" s="37" t="s">
        <v>63</v>
      </c>
      <c r="H18" s="38" t="s">
        <v>76</v>
      </c>
      <c r="I18" s="37">
        <v>5</v>
      </c>
      <c r="J18" s="41">
        <f t="shared" si="1"/>
        <v>200</v>
      </c>
    </row>
    <row r="19" spans="1:10" ht="60.75" thickBot="1" x14ac:dyDescent="0.3">
      <c r="A19" s="1"/>
      <c r="B19" s="31">
        <f t="shared" si="0"/>
        <v>10</v>
      </c>
      <c r="C19" s="39" t="s">
        <v>20</v>
      </c>
      <c r="D19" s="40" t="s">
        <v>35</v>
      </c>
      <c r="E19" s="39" t="s">
        <v>46</v>
      </c>
      <c r="F19" s="40" t="s">
        <v>79</v>
      </c>
      <c r="G19" s="39" t="s">
        <v>66</v>
      </c>
      <c r="H19" s="40" t="s">
        <v>77</v>
      </c>
      <c r="I19" s="39">
        <v>2</v>
      </c>
      <c r="J19" s="46">
        <f t="shared" si="1"/>
        <v>80</v>
      </c>
    </row>
    <row r="20" spans="1:10" ht="24.75" thickBot="1" x14ac:dyDescent="0.3">
      <c r="A20" s="1"/>
      <c r="B20" s="31">
        <f>ROW(B20) - ROW($B$9)</f>
        <v>11</v>
      </c>
      <c r="C20" s="37" t="s">
        <v>21</v>
      </c>
      <c r="D20" s="38" t="s">
        <v>36</v>
      </c>
      <c r="E20" s="37" t="s">
        <v>47</v>
      </c>
      <c r="F20" s="38" t="s">
        <v>47</v>
      </c>
      <c r="G20" s="37" t="s">
        <v>67</v>
      </c>
      <c r="H20" s="38" t="s">
        <v>47</v>
      </c>
      <c r="I20" s="37">
        <v>1</v>
      </c>
      <c r="J20" s="41">
        <f t="shared" si="1"/>
        <v>40</v>
      </c>
    </row>
    <row r="21" spans="1:10" ht="24.75" thickBot="1" x14ac:dyDescent="0.3">
      <c r="A21" s="1"/>
      <c r="B21" s="31">
        <f t="shared" si="0"/>
        <v>12</v>
      </c>
      <c r="C21" s="39" t="s">
        <v>22</v>
      </c>
      <c r="D21" s="40" t="s">
        <v>37</v>
      </c>
      <c r="E21" s="39" t="s">
        <v>46</v>
      </c>
      <c r="F21" s="40" t="s">
        <v>57</v>
      </c>
      <c r="G21" s="39" t="s">
        <v>63</v>
      </c>
      <c r="H21" s="40" t="s">
        <v>78</v>
      </c>
      <c r="I21" s="39">
        <v>1</v>
      </c>
      <c r="J21" s="46">
        <f t="shared" si="1"/>
        <v>40</v>
      </c>
    </row>
    <row r="22" spans="1:10" ht="24.75" thickBot="1" x14ac:dyDescent="0.3">
      <c r="A22" s="1"/>
      <c r="B22" s="31">
        <f>ROW(B22) - ROW($B$9)</f>
        <v>13</v>
      </c>
      <c r="C22" s="37" t="s">
        <v>23</v>
      </c>
      <c r="D22" s="38" t="s">
        <v>38</v>
      </c>
      <c r="E22" s="37" t="s">
        <v>48</v>
      </c>
      <c r="F22" s="38" t="s">
        <v>58</v>
      </c>
      <c r="G22" s="37" t="s">
        <v>68</v>
      </c>
      <c r="H22" s="38" t="s">
        <v>58</v>
      </c>
      <c r="I22" s="37">
        <v>1</v>
      </c>
      <c r="J22" s="41">
        <f t="shared" si="1"/>
        <v>40</v>
      </c>
    </row>
    <row r="23" spans="1:10" ht="24.75" thickBot="1" x14ac:dyDescent="0.3">
      <c r="A23" s="1"/>
      <c r="B23" s="31">
        <f t="shared" si="0"/>
        <v>14</v>
      </c>
      <c r="C23" s="39" t="s">
        <v>24</v>
      </c>
      <c r="D23" s="40" t="s">
        <v>39</v>
      </c>
      <c r="E23" s="39" t="s">
        <v>49</v>
      </c>
      <c r="F23" s="40" t="s">
        <v>59</v>
      </c>
      <c r="G23" s="39" t="s">
        <v>69</v>
      </c>
      <c r="H23" s="40" t="s">
        <v>59</v>
      </c>
      <c r="I23" s="39">
        <v>1</v>
      </c>
      <c r="J23" s="46">
        <f t="shared" si="1"/>
        <v>40</v>
      </c>
    </row>
    <row r="24" spans="1:10" x14ac:dyDescent="0.25">
      <c r="A24" s="1"/>
      <c r="B24" s="32"/>
      <c r="C24" s="33" t="s">
        <v>5</v>
      </c>
      <c r="D24" s="34"/>
      <c r="E24" s="35"/>
      <c r="F24" s="36"/>
      <c r="G24" s="35"/>
      <c r="H24" s="36"/>
      <c r="I24" s="36"/>
      <c r="J24" s="36"/>
    </row>
    <row r="25" spans="1:10" ht="15.75" thickBot="1" x14ac:dyDescent="0.3">
      <c r="A25" s="1"/>
      <c r="B25" s="24"/>
      <c r="C25" s="8" t="s">
        <v>6</v>
      </c>
      <c r="D25" s="9"/>
      <c r="E25" s="9"/>
      <c r="F25" s="9"/>
      <c r="G25" s="9"/>
      <c r="H25" s="9"/>
      <c r="I25" s="9"/>
      <c r="J25" s="9"/>
    </row>
  </sheetData>
  <mergeCells count="2">
    <mergeCell ref="H1:J1"/>
    <mergeCell ref="J3:J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2022-06-24T14:22:52Z</dcterms:modified>
</cp:coreProperties>
</file>