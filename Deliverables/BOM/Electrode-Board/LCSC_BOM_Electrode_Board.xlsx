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Electrode-Board\"/>
    </mc:Choice>
  </mc:AlternateContent>
  <xr:revisionPtr revIDLastSave="0" documentId="13_ncr:1_{1C88631D-3596-4FF5-8D73-96E0434D893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24" i="1" l="1"/>
  <c r="P25" i="1"/>
  <c r="P10" i="1"/>
  <c r="P12" i="1" l="1"/>
  <c r="P13" i="1"/>
  <c r="P14" i="1"/>
  <c r="P15" i="1"/>
  <c r="P17" i="1"/>
  <c r="P18" i="1"/>
  <c r="P19" i="1"/>
  <c r="P20" i="1"/>
  <c r="P21" i="1"/>
  <c r="P22" i="1"/>
  <c r="P23" i="1"/>
  <c r="P11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10" i="1"/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<sst xmlns="http://schemas.openxmlformats.org/spreadsheetml/2006/main" count="175" uniqueCount="113">
  <si>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</si>
  <si>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</si>
  <si>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</si>
  <si>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</si>
  <si>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</si>
  <si>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</si>
  <si>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</si>
  <si>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</si>
  <si>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</si>
  <si>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</si>
  <si>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</si>
  <si>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</si>
  <si>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</si>
  <si>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</si>
  <si>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</si>
  <si>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</si>
  <si>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J1</t>
  </si>
  <si>
    <t>P1</t>
  </si>
  <si>
    <t>R1</t>
  </si>
  <si>
    <t>R2, R3, R4, R5, R6</t>
  </si>
  <si>
    <t>R7, R8</t>
  </si>
  <si>
    <t>R9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</si>
  <si>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</si>
  <si>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</si>
  <si>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</si>
  <si>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</si>
  <si>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</si>
  <si>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</si>
  <si>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</si>
  <si>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</si>
  <si>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</si>
  <si>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CONN FFC BOTTOM 6POS 0.50MM R/A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</si>
  <si>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</si>
  <si>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</si>
  <si>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</si>
  <si>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</si>
  <si>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</si>
  <si>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</si>
  <si>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</si>
  <si>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</si>
  <si>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</si>
  <si>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</si>
  <si>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</si>
  <si>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</si>
  <si>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FH19C-6S-0.5SH(10)</t>
  </si>
  <si>
    <t>Res0402</t>
  </si>
  <si>
    <t>TC33X-2-104E</t>
  </si>
  <si>
    <t>SOIC-8</t>
  </si>
  <si>
    <t>14TSSOP</t>
  </si>
  <si>
    <t>Manufacturer Part Number</t>
  </si>
  <si>
    <t>CL10A106MA8NRNC</t>
  </si>
  <si>
    <t>GRM155R71H104ME14D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</si>
  <si>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</si>
  <si>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</si>
  <si>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</si>
  <si>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</si>
  <si>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</si>
  <si>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</si>
  <si>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</si>
  <si>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</si>
  <si>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</si>
  <si>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</si>
  <si>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</si>
  <si>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Hirose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</si>
  <si>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</si>
  <si>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</si>
  <si>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</si>
  <si>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</si>
  <si>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</si>
  <si>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</si>
  <si>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</si>
  <si>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</si>
  <si>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</si>
  <si>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</si>
  <si>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</si>
  <si>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</si>
  <si>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Quantity</t>
  </si>
  <si>
    <t>Alternate Part No</t>
  </si>
  <si>
    <t>LCSC/Part No</t>
  </si>
  <si>
    <t xml:space="preserve"> Links</t>
  </si>
  <si>
    <t>Remarks</t>
  </si>
  <si>
    <t>Reviewer Remarks</t>
  </si>
  <si>
    <t>Unit Cost/40 Boards</t>
  </si>
  <si>
    <t>Total Cost/40 Boards</t>
  </si>
  <si>
    <t>LCSC/MOQ/40 Boards</t>
  </si>
  <si>
    <t>Quantity/40 Boards</t>
  </si>
  <si>
    <t>CL05B104KB54PNC</t>
  </si>
  <si>
    <t>C307331</t>
  </si>
  <si>
    <t>LCSC</t>
  </si>
  <si>
    <t>C2922482</t>
  </si>
  <si>
    <t>---------</t>
  </si>
  <si>
    <t>10uF</t>
  </si>
  <si>
    <t>C325464</t>
  </si>
  <si>
    <t>Custom</t>
  </si>
  <si>
    <t>CC0402KRX7R9BB103</t>
  </si>
  <si>
    <t>C60133</t>
  </si>
  <si>
    <t xml:space="preserve">Shikues </t>
  </si>
  <si>
    <t xml:space="preserve">C110221
</t>
  </si>
  <si>
    <t>----</t>
  </si>
  <si>
    <t>C424651</t>
  </si>
  <si>
    <t>-------</t>
  </si>
  <si>
    <t>--------</t>
  </si>
  <si>
    <t>C114755</t>
  </si>
  <si>
    <t>C137919</t>
  </si>
  <si>
    <t>RC-02W8062FT</t>
  </si>
  <si>
    <t>C304637</t>
  </si>
  <si>
    <t>C719186</t>
  </si>
  <si>
    <t>C105637</t>
  </si>
  <si>
    <t>Custom Supplier</t>
  </si>
  <si>
    <t>C85344</t>
  </si>
  <si>
    <t xml:space="preserve">Total Component Cost </t>
  </si>
  <si>
    <t>Single Board Cost</t>
  </si>
  <si>
    <t>C110221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</si>
</sst>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9" fillId="2" borderId="19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2" fillId="4" borderId="21" xfId="1" applyFont="1" applyFill="1" applyBorder="1" applyAlignment="1">
      <alignment horizontal="center" vertical="center"/>
    </xf>
    <xf numFmtId="165" fontId="23" fillId="4" borderId="21" xfId="0" applyNumberFormat="1" applyFont="1" applyFill="1" applyBorder="1" applyAlignment="1">
      <alignment horizontal="center" vertical="center"/>
    </xf>
    <xf numFmtId="166" fontId="18" fillId="4" borderId="17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8" fillId="2" borderId="16" xfId="0" quotePrefix="1" applyFont="1" applyFill="1" applyBorder="1" applyAlignment="1">
      <alignment horizontal="center" vertical="center" wrapText="1"/>
    </xf>
    <xf numFmtId="0" fontId="22" fillId="0" borderId="21" xfId="1" applyFont="1" applyBorder="1" applyAlignment="1">
      <alignment horizontal="center" vertical="center"/>
    </xf>
    <xf numFmtId="165" fontId="23" fillId="0" borderId="21" xfId="0" applyNumberFormat="1" applyFont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8" fillId="4" borderId="17" xfId="0" quotePrefix="1" applyFont="1" applyFill="1" applyBorder="1" applyAlignment="1">
      <alignment horizontal="center" vertical="center" wrapText="1"/>
    </xf>
    <xf numFmtId="0" fontId="23" fillId="4" borderId="21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8" fillId="2" borderId="5" xfId="0" quotePrefix="1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4" borderId="24" xfId="0" applyFont="1" applyFill="1" applyBorder="1" applyAlignment="1">
      <alignment horizontal="center" vertical="center" wrapText="1"/>
    </xf>
    <xf numFmtId="0" fontId="20" fillId="4" borderId="23" xfId="0" applyFont="1" applyFill="1" applyBorder="1" applyAlignment="1">
      <alignment horizontal="center" vertical="center" wrapText="1"/>
    </xf>
    <xf numFmtId="0" fontId="18" fillId="2" borderId="25" xfId="0" quotePrefix="1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166" fontId="18" fillId="2" borderId="17" xfId="0" quotePrefix="1" applyNumberFormat="1" applyFont="1" applyFill="1" applyBorder="1" applyAlignment="1">
      <alignment horizontal="center" vertical="center" wrapText="1"/>
    </xf>
    <xf numFmtId="0" fontId="18" fillId="2" borderId="18" xfId="0" quotePrefix="1" applyFont="1" applyFill="1" applyBorder="1" applyAlignment="1">
      <alignment horizontal="center" vertical="center" wrapText="1"/>
    </xf>
    <xf numFmtId="0" fontId="19" fillId="2" borderId="19" xfId="0" quotePrefix="1" applyFont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 wrapText="1"/>
    </xf>
    <xf numFmtId="165" fontId="18" fillId="2" borderId="16" xfId="0" quotePrefix="1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6" xfId="0" applyNumberFormat="1" applyFont="1" applyFill="1" applyBorder="1" applyAlignment="1">
      <alignment horizontal="center" vertical="center"/>
    </xf>
    <xf numFmtId="0" fontId="18" fillId="4" borderId="27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0" xfId="0" applyBorder="1" applyAlignment="1">
      <alignment horizont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8" fillId="4" borderId="2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</xdr:colOff>
      <xdr:row>2</xdr:row>
      <xdr:rowOff>29467</xdr:rowOff>
    </xdr:from>
    <xdr:to>
      <xdr:col>17</xdr:col>
      <xdr:colOff>1724025</xdr:colOff>
      <xdr:row>7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49" y="639067"/>
          <a:ext cx="3657601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402JR-07150KL_C137919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lcsc.com/product-detail/Multilayer-Ceramic-Capacitors-MLCC-SMD-SMT_YAGEO-CC0402KRX5R7BB105_C325464.html" TargetMode="External"/><Relationship Id="rId7" Type="http://schemas.openxmlformats.org/officeDocument/2006/relationships/hyperlink" Target="https://lcsc.com/product-detail/Chip-Resistor-Surface-Mount_YAGEO-RC0402FR-07240RL_C114755.html" TargetMode="External"/><Relationship Id="rId12" Type="http://schemas.openxmlformats.org/officeDocument/2006/relationships/hyperlink" Target="https://lcsc.com/product-detail/FET-InputAmplifiers_Texas-Instruments-TL084CPWR_C85344.html" TargetMode="External"/><Relationship Id="rId2" Type="http://schemas.openxmlformats.org/officeDocument/2006/relationships/hyperlink" Target="https://lcsc.com/product-detail/Multilayer-Ceramic-Capacitors-MLCC-SMD-SMT_Samsung-Electro-Mechanics-CL10A106MA8NRNC_C2922482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FFC-FPC-Connectors_HRS-Hirose-FH19C-6S-0-5SH-10_C424651.html" TargetMode="External"/><Relationship Id="rId11" Type="http://schemas.openxmlformats.org/officeDocument/2006/relationships/hyperlink" Target="https://lcsc.com/product-detail/Chip-Resistor-Surface-Mount_YAGEO-RC0402JR-071KL_C105637.html" TargetMode="External"/><Relationship Id="rId5" Type="http://schemas.openxmlformats.org/officeDocument/2006/relationships/hyperlink" Target="https://lcsc.com/product-detail/Switching-Diode_Shikues-1N4148WS_C110221.html" TargetMode="External"/><Relationship Id="rId10" Type="http://schemas.openxmlformats.org/officeDocument/2006/relationships/hyperlink" Target="https://lcsc.com/product-detail/Variable-Resistors-Potentiometers_BOURNS-TC33X-2-104E_C719186.html" TargetMode="External"/><Relationship Id="rId4" Type="http://schemas.openxmlformats.org/officeDocument/2006/relationships/hyperlink" Target="https://lcsc.com/product-detail/Multilayer-Ceramic-Capacitors-MLCC-SMD-SMT_YAGEO-CC0402KRX7R9BB103_C60133.html" TargetMode="External"/><Relationship Id="rId9" Type="http://schemas.openxmlformats.org/officeDocument/2006/relationships/hyperlink" Target="https://lcsc.com/product-detail/Chip-Resistor-Surface-Mount_FH-Guangdong-Fenghua-Advanced-Tech-RC-02W8062FT_C304637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opLeftCell="E4" workbookViewId="0">
      <selection activeCell="M17" sqref="M17:M22"/>
    </sheetView>
  </sheetViews>
  <sheetFormatPr defaultRowHeight="15" x14ac:dyDescent="0.25"/>
  <cols>
    <col min="2" max="2" width="3.140625" style="26" customWidth="1"/>
    <col min="3" max="3" width="36" bestFit="1" customWidth="1"/>
    <col min="4" max="4" width="19.28515625" bestFit="1" customWidth="1"/>
    <col min="5" max="5" width="26.5703125" bestFit="1" customWidth="1"/>
    <col min="6" max="6" width="33.42578125" bestFit="1" customWidth="1"/>
    <col min="7" max="7" width="33.42578125" customWidth="1"/>
    <col min="8" max="8" width="21.42578125" bestFit="1" customWidth="1"/>
    <col min="9" max="9" width="21.42578125" customWidth="1"/>
    <col min="10" max="10" width="29.42578125" bestFit="1" customWidth="1"/>
    <col min="11" max="13" width="29.42578125" customWidth="1"/>
    <col min="14" max="14" width="13.42578125" bestFit="1" customWidth="1"/>
    <col min="15" max="15" width="25.85546875" bestFit="1" customWidth="1"/>
    <col min="16" max="16" width="25.85546875" customWidth="1"/>
    <col min="17" max="17" width="29.42578125" customWidth="1"/>
    <col min="18" max="18" width="26.85546875" bestFit="1" customWidth="1"/>
  </cols>
  <sheetData>
    <row r="1" spans="1:18" ht="15.75" thickBot="1" x14ac:dyDescent="0.3">
      <c r="A1" s="1"/>
      <c r="B1" s="20"/>
      <c r="C1" s="2"/>
      <c r="D1" s="2"/>
      <c r="E1" s="2"/>
      <c r="F1" s="2"/>
      <c r="G1" s="2"/>
      <c r="H1" s="2"/>
      <c r="I1" s="2"/>
      <c r="J1" s="83"/>
      <c r="K1" s="83"/>
      <c r="L1" s="83"/>
      <c r="M1" s="83"/>
      <c r="N1" s="83"/>
      <c r="O1" s="83"/>
      <c r="P1" s="83"/>
      <c r="Q1" s="83"/>
      <c r="R1" s="84"/>
    </row>
    <row r="2" spans="1:18" ht="32.25" thickBot="1" x14ac:dyDescent="0.3">
      <c r="A2" s="1"/>
      <c r="B2" s="21"/>
      <c r="C2" s="11" t="s">
        <v>0</v>
      </c>
      <c r="D2" s="11"/>
      <c r="E2" s="39" t="s">
        <v>7</v>
      </c>
      <c r="F2" s="12"/>
      <c r="G2" s="12"/>
      <c r="H2" s="4"/>
      <c r="I2" s="4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13" t="s">
        <v>1</v>
      </c>
      <c r="D3" s="13"/>
      <c r="E3" s="40" t="s">
        <v>8</v>
      </c>
      <c r="F3" s="13"/>
      <c r="G3" s="13"/>
      <c r="H3" s="5"/>
      <c r="I3" s="5"/>
      <c r="J3" s="5"/>
      <c r="K3" s="5"/>
      <c r="L3" s="5"/>
      <c r="M3" s="5"/>
      <c r="N3" s="5"/>
      <c r="O3" s="5"/>
      <c r="P3" s="5"/>
      <c r="Q3" s="91"/>
      <c r="R3" s="92"/>
    </row>
    <row r="4" spans="1:18" x14ac:dyDescent="0.25">
      <c r="A4" s="1"/>
      <c r="B4" s="22"/>
      <c r="C4" s="13" t="s">
        <v>2</v>
      </c>
      <c r="D4" s="13"/>
      <c r="E4" s="41" t="s">
        <v>8</v>
      </c>
      <c r="F4" s="14"/>
      <c r="G4" s="14"/>
      <c r="H4" s="7"/>
      <c r="I4" s="7"/>
      <c r="J4" s="7"/>
      <c r="K4" s="6"/>
      <c r="L4" s="6"/>
      <c r="M4" s="6"/>
      <c r="N4" s="6"/>
      <c r="O4" s="6"/>
      <c r="P4" s="6"/>
      <c r="Q4" s="93"/>
      <c r="R4" s="94"/>
    </row>
    <row r="5" spans="1:18" x14ac:dyDescent="0.25">
      <c r="A5" s="1"/>
      <c r="B5" s="22"/>
      <c r="C5" s="13" t="s">
        <v>3</v>
      </c>
      <c r="D5" s="13"/>
      <c r="E5" s="42" t="s">
        <v>9</v>
      </c>
      <c r="F5" s="15"/>
      <c r="G5" s="15"/>
      <c r="H5" s="6"/>
      <c r="I5" s="6"/>
      <c r="J5" s="6"/>
      <c r="K5" s="6"/>
      <c r="L5" s="6"/>
      <c r="M5" s="6"/>
      <c r="N5" s="6"/>
      <c r="O5" s="6"/>
      <c r="P5" s="6"/>
      <c r="Q5" s="93"/>
      <c r="R5" s="94"/>
    </row>
    <row r="6" spans="1:18" x14ac:dyDescent="0.25">
      <c r="A6" s="1"/>
      <c r="B6" s="23"/>
      <c r="C6" s="16"/>
      <c r="D6" s="16"/>
      <c r="E6" s="17"/>
      <c r="F6" s="15"/>
      <c r="G6" s="15"/>
      <c r="H6" s="6"/>
      <c r="I6" s="6"/>
      <c r="J6" s="6"/>
      <c r="K6" s="6"/>
      <c r="L6" s="6"/>
      <c r="M6" s="6"/>
      <c r="N6" s="6"/>
      <c r="O6" s="6"/>
      <c r="P6" s="6"/>
      <c r="Q6" s="93"/>
      <c r="R6" s="94"/>
    </row>
    <row r="7" spans="1:18" x14ac:dyDescent="0.25">
      <c r="A7" s="1"/>
      <c r="B7" s="24"/>
      <c r="C7" s="18"/>
      <c r="D7" s="18"/>
      <c r="E7" s="19"/>
      <c r="F7" s="18"/>
      <c r="G7" s="18"/>
      <c r="H7" s="8"/>
      <c r="I7" s="8"/>
      <c r="J7" s="8"/>
      <c r="K7" s="8"/>
      <c r="L7" s="8"/>
      <c r="M7" s="8"/>
      <c r="N7" s="8"/>
      <c r="O7" s="8"/>
      <c r="P7" s="8"/>
      <c r="Q7" s="93"/>
      <c r="R7" s="94"/>
    </row>
    <row r="8" spans="1:18" ht="15.75" thickBot="1" x14ac:dyDescent="0.3">
      <c r="A8" s="1"/>
      <c r="B8" s="27"/>
      <c r="C8" s="28"/>
      <c r="D8" s="28"/>
      <c r="E8" s="29"/>
      <c r="F8" s="18"/>
      <c r="G8" s="18"/>
      <c r="H8" s="8"/>
      <c r="I8" s="8"/>
      <c r="J8" s="8"/>
      <c r="K8" s="8"/>
      <c r="L8" s="8"/>
      <c r="M8" s="8"/>
      <c r="N8" s="8"/>
      <c r="O8" s="8"/>
      <c r="P8" s="8"/>
      <c r="Q8" s="95"/>
      <c r="R8" s="96"/>
    </row>
    <row r="9" spans="1:18" ht="15.75" thickBot="1" x14ac:dyDescent="0.3">
      <c r="A9" s="1"/>
      <c r="B9" s="30" t="s">
        <v>4</v>
      </c>
      <c r="C9" s="30" t="s">
        <v>10</v>
      </c>
      <c r="D9" s="31" t="s">
        <v>25</v>
      </c>
      <c r="E9" s="30" t="s">
        <v>40</v>
      </c>
      <c r="F9" s="31" t="s">
        <v>49</v>
      </c>
      <c r="G9" s="69" t="s">
        <v>77</v>
      </c>
      <c r="H9" s="30" t="s">
        <v>59</v>
      </c>
      <c r="I9" s="32" t="s">
        <v>78</v>
      </c>
      <c r="J9" s="30" t="s">
        <v>68</v>
      </c>
      <c r="K9" s="31" t="s">
        <v>76</v>
      </c>
      <c r="L9" s="30" t="s">
        <v>85</v>
      </c>
      <c r="M9" s="30" t="s">
        <v>84</v>
      </c>
      <c r="N9" s="30" t="s">
        <v>79</v>
      </c>
      <c r="O9" s="30" t="s">
        <v>82</v>
      </c>
      <c r="P9" s="30" t="s">
        <v>83</v>
      </c>
      <c r="Q9" s="32" t="s">
        <v>80</v>
      </c>
      <c r="R9" s="32" t="s">
        <v>81</v>
      </c>
    </row>
    <row r="10" spans="1:18" ht="24.75" thickBot="1" x14ac:dyDescent="0.3">
      <c r="A10" s="1"/>
      <c r="B10" s="38">
        <f>ROW(B10) - ROW($B$9)</f>
        <v>1</v>
      </c>
      <c r="C10" s="43" t="s">
        <v>11</v>
      </c>
      <c r="D10" s="44" t="s">
        <v>26</v>
      </c>
      <c r="E10" s="43" t="s">
        <v>41</v>
      </c>
      <c r="F10" s="44" t="s">
        <v>50</v>
      </c>
      <c r="G10" s="72" t="s">
        <v>90</v>
      </c>
      <c r="H10" s="43" t="s">
        <v>60</v>
      </c>
      <c r="I10" s="58" t="s">
        <v>89</v>
      </c>
      <c r="J10" s="43" t="s">
        <v>91</v>
      </c>
      <c r="K10" s="44">
        <v>1</v>
      </c>
      <c r="L10" s="43">
        <f>K10*40</f>
        <v>40</v>
      </c>
      <c r="M10" s="43">
        <v>60</v>
      </c>
      <c r="N10" s="60" t="s">
        <v>88</v>
      </c>
      <c r="O10" s="61">
        <v>1.3599999999999999E-2</v>
      </c>
      <c r="P10" s="63">
        <f>O10*M10</f>
        <v>0.81599999999999995</v>
      </c>
      <c r="Q10" s="45"/>
      <c r="R10" s="46"/>
    </row>
    <row r="11" spans="1:18" ht="24.75" thickBot="1" x14ac:dyDescent="0.3">
      <c r="A11" s="1"/>
      <c r="B11" s="38">
        <f t="shared" ref="B11:B23" si="0">ROW(B11) - ROW($B$9)</f>
        <v>2</v>
      </c>
      <c r="C11" s="47" t="s">
        <v>12</v>
      </c>
      <c r="D11" s="48" t="s">
        <v>27</v>
      </c>
      <c r="E11" s="47" t="s">
        <v>42</v>
      </c>
      <c r="F11" s="71" t="s">
        <v>51</v>
      </c>
      <c r="G11" s="73" t="s">
        <v>86</v>
      </c>
      <c r="H11" s="47" t="s">
        <v>61</v>
      </c>
      <c r="I11" s="52" t="s">
        <v>87</v>
      </c>
      <c r="J11" s="47" t="s">
        <v>69</v>
      </c>
      <c r="K11" s="48">
        <v>1</v>
      </c>
      <c r="L11" s="53">
        <f t="shared" ref="L11:L23" si="1">K11*40</f>
        <v>40</v>
      </c>
      <c r="M11" s="47">
        <v>50</v>
      </c>
      <c r="N11" s="54" t="s">
        <v>88</v>
      </c>
      <c r="O11" s="55">
        <v>7.3000000000000001E-3</v>
      </c>
      <c r="P11" s="56">
        <f>O11*M11</f>
        <v>0.36499999999999999</v>
      </c>
      <c r="Q11" s="49"/>
      <c r="R11" s="50"/>
    </row>
    <row r="12" spans="1:18" ht="24.75" thickBot="1" x14ac:dyDescent="0.3">
      <c r="A12" s="1"/>
      <c r="B12" s="38">
        <f>ROW(B12) - ROW($B$9)</f>
        <v>3</v>
      </c>
      <c r="C12" s="43" t="s">
        <v>13</v>
      </c>
      <c r="D12" s="44" t="s">
        <v>28</v>
      </c>
      <c r="E12" s="43" t="s">
        <v>42</v>
      </c>
      <c r="F12" s="44" t="s">
        <v>94</v>
      </c>
      <c r="G12" s="59" t="s">
        <v>90</v>
      </c>
      <c r="H12" s="43" t="s">
        <v>62</v>
      </c>
      <c r="I12" s="45" t="s">
        <v>95</v>
      </c>
      <c r="J12" s="43" t="s">
        <v>70</v>
      </c>
      <c r="K12" s="44">
        <v>1</v>
      </c>
      <c r="L12" s="43">
        <f t="shared" si="1"/>
        <v>40</v>
      </c>
      <c r="M12" s="43">
        <v>100</v>
      </c>
      <c r="N12" s="66" t="s">
        <v>88</v>
      </c>
      <c r="O12" s="43">
        <v>1E-3</v>
      </c>
      <c r="P12" s="57">
        <f t="shared" ref="P12:P23" si="2">O12*M12</f>
        <v>0.1</v>
      </c>
      <c r="Q12" s="45"/>
      <c r="R12" s="51"/>
    </row>
    <row r="13" spans="1:18" ht="24.75" thickBot="1" x14ac:dyDescent="0.3">
      <c r="A13" s="1"/>
      <c r="B13" s="38">
        <f t="shared" si="0"/>
        <v>4</v>
      </c>
      <c r="C13" s="47" t="s">
        <v>14</v>
      </c>
      <c r="D13" s="48" t="s">
        <v>29</v>
      </c>
      <c r="E13" s="47" t="s">
        <v>42</v>
      </c>
      <c r="F13" s="48" t="s">
        <v>52</v>
      </c>
      <c r="G13" s="64" t="s">
        <v>90</v>
      </c>
      <c r="H13" s="47" t="s">
        <v>62</v>
      </c>
      <c r="I13" s="52" t="s">
        <v>92</v>
      </c>
      <c r="J13" s="47" t="s">
        <v>71</v>
      </c>
      <c r="K13" s="48">
        <v>1</v>
      </c>
      <c r="L13" s="53">
        <f t="shared" si="1"/>
        <v>40</v>
      </c>
      <c r="M13" s="65">
        <v>50</v>
      </c>
      <c r="N13" s="54" t="s">
        <v>88</v>
      </c>
      <c r="O13" s="55">
        <v>6.4000000000000003E-3</v>
      </c>
      <c r="P13" s="56">
        <f t="shared" si="2"/>
        <v>0.32</v>
      </c>
      <c r="Q13" s="49"/>
      <c r="R13" s="50"/>
    </row>
    <row r="14" spans="1:18" ht="72.75" thickBot="1" x14ac:dyDescent="0.3">
      <c r="A14" s="1"/>
      <c r="B14" s="38">
        <f>ROW(B14) - ROW($B$9)</f>
        <v>5</v>
      </c>
      <c r="C14" s="43" t="s">
        <v>15</v>
      </c>
      <c r="D14" s="44" t="s">
        <v>30</v>
      </c>
      <c r="E14" s="43" t="s">
        <v>43</v>
      </c>
      <c r="F14" s="44" t="s">
        <v>53</v>
      </c>
      <c r="G14" s="59" t="s">
        <v>90</v>
      </c>
      <c r="H14" s="43" t="s">
        <v>96</v>
      </c>
      <c r="I14" s="45" t="s">
        <v>97</v>
      </c>
      <c r="J14" s="59" t="s">
        <v>98</v>
      </c>
      <c r="K14" s="44">
        <v>2</v>
      </c>
      <c r="L14" s="43">
        <f t="shared" si="1"/>
        <v>80</v>
      </c>
      <c r="M14" s="43">
        <v>100</v>
      </c>
      <c r="N14" s="66" t="s">
        <v>88</v>
      </c>
      <c r="O14" s="62">
        <v>1.3100000000000001E-2</v>
      </c>
      <c r="P14" s="57">
        <f t="shared" si="2"/>
        <v>1.31</v>
      </c>
      <c r="Q14" s="45"/>
      <c r="R14" s="51"/>
    </row>
    <row r="15" spans="1:18" ht="24.75" thickBot="1" x14ac:dyDescent="0.3">
      <c r="A15" s="1"/>
      <c r="B15" s="38">
        <f t="shared" si="0"/>
        <v>6</v>
      </c>
      <c r="C15" s="47" t="s">
        <v>16</v>
      </c>
      <c r="D15" s="48" t="s">
        <v>31</v>
      </c>
      <c r="E15" s="47" t="s">
        <v>93</v>
      </c>
      <c r="F15" s="48" t="s">
        <v>44</v>
      </c>
      <c r="G15" s="64" t="s">
        <v>90</v>
      </c>
      <c r="H15" s="47" t="s">
        <v>63</v>
      </c>
      <c r="I15" s="49" t="s">
        <v>99</v>
      </c>
      <c r="J15" s="64" t="s">
        <v>98</v>
      </c>
      <c r="K15" s="48">
        <v>1</v>
      </c>
      <c r="L15" s="53">
        <f t="shared" si="1"/>
        <v>40</v>
      </c>
      <c r="M15" s="47">
        <v>42</v>
      </c>
      <c r="N15" s="67" t="s">
        <v>88</v>
      </c>
      <c r="O15" s="77">
        <v>0.1094</v>
      </c>
      <c r="P15" s="56">
        <f t="shared" si="2"/>
        <v>4.5948000000000002</v>
      </c>
      <c r="Q15" s="49"/>
      <c r="R15" s="50"/>
    </row>
    <row r="16" spans="1:18" ht="24.75" thickBot="1" x14ac:dyDescent="0.3">
      <c r="A16" s="1"/>
      <c r="B16" s="38">
        <f>ROW(B16) - ROW($B$9)</f>
        <v>7</v>
      </c>
      <c r="C16" s="43" t="s">
        <v>17</v>
      </c>
      <c r="D16" s="44" t="s">
        <v>32</v>
      </c>
      <c r="E16" s="43" t="s">
        <v>93</v>
      </c>
      <c r="F16" s="68" t="s">
        <v>100</v>
      </c>
      <c r="G16" s="59" t="s">
        <v>100</v>
      </c>
      <c r="H16" s="59" t="s">
        <v>100</v>
      </c>
      <c r="I16" s="68" t="s">
        <v>100</v>
      </c>
      <c r="J16" s="59" t="s">
        <v>98</v>
      </c>
      <c r="K16" s="44">
        <v>1</v>
      </c>
      <c r="L16" s="43">
        <f t="shared" si="1"/>
        <v>40</v>
      </c>
      <c r="M16" s="59" t="s">
        <v>101</v>
      </c>
      <c r="N16" s="59" t="s">
        <v>100</v>
      </c>
      <c r="O16" s="78" t="s">
        <v>101</v>
      </c>
      <c r="P16" s="74" t="s">
        <v>90</v>
      </c>
      <c r="Q16" s="75" t="s">
        <v>90</v>
      </c>
      <c r="R16" s="76" t="s">
        <v>101</v>
      </c>
    </row>
    <row r="17" spans="1:18" ht="36.75" thickBot="1" x14ac:dyDescent="0.3">
      <c r="A17" s="1"/>
      <c r="B17" s="38">
        <f t="shared" si="0"/>
        <v>8</v>
      </c>
      <c r="C17" s="47" t="s">
        <v>18</v>
      </c>
      <c r="D17" s="48" t="s">
        <v>33</v>
      </c>
      <c r="E17" s="47" t="s">
        <v>45</v>
      </c>
      <c r="F17" s="48" t="s">
        <v>54</v>
      </c>
      <c r="G17" s="64" t="s">
        <v>90</v>
      </c>
      <c r="H17" s="47" t="s">
        <v>62</v>
      </c>
      <c r="I17" s="49" t="s">
        <v>102</v>
      </c>
      <c r="J17" s="47" t="s">
        <v>72</v>
      </c>
      <c r="K17" s="48">
        <v>1</v>
      </c>
      <c r="L17" s="53">
        <f t="shared" si="1"/>
        <v>40</v>
      </c>
      <c r="M17" s="47">
        <v>100</v>
      </c>
      <c r="N17" s="67" t="s">
        <v>88</v>
      </c>
      <c r="O17" s="77">
        <v>8.0000000000000004E-4</v>
      </c>
      <c r="P17" s="56">
        <f t="shared" si="2"/>
        <v>0.08</v>
      </c>
      <c r="Q17" s="49"/>
      <c r="R17" s="50"/>
    </row>
    <row r="18" spans="1:18" ht="24.75" thickBot="1" x14ac:dyDescent="0.3">
      <c r="A18" s="1"/>
      <c r="B18" s="38">
        <f>ROW(B18) - ROW($B$9)</f>
        <v>9</v>
      </c>
      <c r="C18" s="43" t="s">
        <v>19</v>
      </c>
      <c r="D18" s="44" t="s">
        <v>34</v>
      </c>
      <c r="E18" s="43" t="s">
        <v>45</v>
      </c>
      <c r="F18" s="44" t="s">
        <v>55</v>
      </c>
      <c r="G18" s="59" t="s">
        <v>100</v>
      </c>
      <c r="H18" s="43" t="s">
        <v>62</v>
      </c>
      <c r="I18" s="45" t="s">
        <v>103</v>
      </c>
      <c r="J18" s="43" t="s">
        <v>73</v>
      </c>
      <c r="K18" s="44">
        <v>5</v>
      </c>
      <c r="L18" s="43">
        <f t="shared" si="1"/>
        <v>200</v>
      </c>
      <c r="M18" s="43">
        <v>300</v>
      </c>
      <c r="N18" s="66" t="s">
        <v>88</v>
      </c>
      <c r="O18" s="62">
        <v>5.0000000000000001E-4</v>
      </c>
      <c r="P18" s="57">
        <f t="shared" si="2"/>
        <v>0.15</v>
      </c>
      <c r="Q18" s="45"/>
      <c r="R18" s="51"/>
    </row>
    <row r="19" spans="1:18" ht="60.75" thickBot="1" x14ac:dyDescent="0.3">
      <c r="A19" s="1"/>
      <c r="B19" s="38">
        <f t="shared" si="0"/>
        <v>10</v>
      </c>
      <c r="C19" s="47" t="s">
        <v>20</v>
      </c>
      <c r="D19" s="48" t="s">
        <v>35</v>
      </c>
      <c r="E19" s="47" t="s">
        <v>45</v>
      </c>
      <c r="F19" s="48" t="s">
        <v>104</v>
      </c>
      <c r="G19" s="64" t="s">
        <v>90</v>
      </c>
      <c r="H19" s="47" t="s">
        <v>64</v>
      </c>
      <c r="I19" s="49" t="s">
        <v>105</v>
      </c>
      <c r="J19" s="47" t="s">
        <v>74</v>
      </c>
      <c r="K19" s="48">
        <v>2</v>
      </c>
      <c r="L19" s="53">
        <f t="shared" si="1"/>
        <v>80</v>
      </c>
      <c r="M19" s="47">
        <v>100</v>
      </c>
      <c r="N19" s="67" t="s">
        <v>88</v>
      </c>
      <c r="O19" s="77">
        <v>6.9999999999999999E-4</v>
      </c>
      <c r="P19" s="56">
        <f t="shared" si="2"/>
        <v>6.9999999999999993E-2</v>
      </c>
      <c r="Q19" s="49"/>
      <c r="R19" s="50"/>
    </row>
    <row r="20" spans="1:18" ht="24.75" thickBot="1" x14ac:dyDescent="0.3">
      <c r="A20" s="1"/>
      <c r="B20" s="38">
        <f>ROW(B20) - ROW($B$9)</f>
        <v>11</v>
      </c>
      <c r="C20" s="43" t="s">
        <v>21</v>
      </c>
      <c r="D20" s="44" t="s">
        <v>36</v>
      </c>
      <c r="E20" s="43" t="s">
        <v>93</v>
      </c>
      <c r="F20" s="44" t="s">
        <v>46</v>
      </c>
      <c r="G20" s="59" t="s">
        <v>100</v>
      </c>
      <c r="H20" s="43" t="s">
        <v>65</v>
      </c>
      <c r="I20" s="45" t="s">
        <v>106</v>
      </c>
      <c r="J20" s="59" t="s">
        <v>98</v>
      </c>
      <c r="K20" s="44">
        <v>1</v>
      </c>
      <c r="L20" s="43">
        <f t="shared" si="1"/>
        <v>40</v>
      </c>
      <c r="M20" s="43">
        <v>45</v>
      </c>
      <c r="N20" s="66" t="s">
        <v>88</v>
      </c>
      <c r="O20" s="62">
        <v>0.18210000000000001</v>
      </c>
      <c r="P20" s="57">
        <f t="shared" si="2"/>
        <v>8.1944999999999997</v>
      </c>
      <c r="Q20" s="45"/>
      <c r="R20" s="51"/>
    </row>
    <row r="21" spans="1:18" ht="24.75" thickBot="1" x14ac:dyDescent="0.3">
      <c r="A21" s="1"/>
      <c r="B21" s="38">
        <f t="shared" si="0"/>
        <v>12</v>
      </c>
      <c r="C21" s="47" t="s">
        <v>22</v>
      </c>
      <c r="D21" s="48" t="s">
        <v>37</v>
      </c>
      <c r="E21" s="47" t="s">
        <v>45</v>
      </c>
      <c r="F21" s="48" t="s">
        <v>56</v>
      </c>
      <c r="G21" s="64" t="s">
        <v>90</v>
      </c>
      <c r="H21" s="47" t="s">
        <v>62</v>
      </c>
      <c r="I21" s="49" t="s">
        <v>107</v>
      </c>
      <c r="J21" s="47" t="s">
        <v>75</v>
      </c>
      <c r="K21" s="48">
        <v>1</v>
      </c>
      <c r="L21" s="53">
        <f t="shared" si="1"/>
        <v>40</v>
      </c>
      <c r="M21" s="47">
        <v>100</v>
      </c>
      <c r="N21" s="67" t="s">
        <v>88</v>
      </c>
      <c r="O21" s="77">
        <v>5.9999999999999995E-4</v>
      </c>
      <c r="P21" s="56">
        <f t="shared" si="2"/>
        <v>0.06</v>
      </c>
      <c r="Q21" s="49"/>
      <c r="R21" s="50"/>
    </row>
    <row r="22" spans="1:18" ht="30.75" thickBot="1" x14ac:dyDescent="0.3">
      <c r="A22" s="1"/>
      <c r="B22" s="38">
        <f>ROW(B22) - ROW($B$9)</f>
        <v>13</v>
      </c>
      <c r="C22" s="43" t="s">
        <v>23</v>
      </c>
      <c r="D22" s="44" t="s">
        <v>38</v>
      </c>
      <c r="E22" s="43" t="s">
        <v>47</v>
      </c>
      <c r="F22" s="44" t="s">
        <v>57</v>
      </c>
      <c r="G22" s="59" t="s">
        <v>100</v>
      </c>
      <c r="H22" s="43" t="s">
        <v>66</v>
      </c>
      <c r="I22" s="75" t="s">
        <v>101</v>
      </c>
      <c r="J22" s="59" t="s">
        <v>98</v>
      </c>
      <c r="K22" s="44">
        <v>1</v>
      </c>
      <c r="L22" s="43">
        <f t="shared" si="1"/>
        <v>40</v>
      </c>
      <c r="M22" s="43">
        <v>42</v>
      </c>
      <c r="N22" s="66" t="s">
        <v>108</v>
      </c>
      <c r="O22" s="62">
        <v>4.55</v>
      </c>
      <c r="P22" s="57">
        <f t="shared" si="2"/>
        <v>191.1</v>
      </c>
      <c r="Q22" s="45"/>
      <c r="R22" s="51"/>
    </row>
    <row r="23" spans="1:18" ht="24.75" thickBot="1" x14ac:dyDescent="0.3">
      <c r="A23" s="1"/>
      <c r="B23" s="38">
        <f t="shared" si="0"/>
        <v>14</v>
      </c>
      <c r="C23" s="47" t="s">
        <v>24</v>
      </c>
      <c r="D23" s="48" t="s">
        <v>39</v>
      </c>
      <c r="E23" s="47" t="s">
        <v>48</v>
      </c>
      <c r="F23" s="48" t="s">
        <v>58</v>
      </c>
      <c r="G23" s="64" t="s">
        <v>90</v>
      </c>
      <c r="H23" s="70" t="s">
        <v>67</v>
      </c>
      <c r="I23" s="49" t="s">
        <v>109</v>
      </c>
      <c r="J23" s="64" t="s">
        <v>98</v>
      </c>
      <c r="K23" s="48">
        <v>1</v>
      </c>
      <c r="L23" s="53">
        <f t="shared" si="1"/>
        <v>40</v>
      </c>
      <c r="M23" s="47">
        <v>42</v>
      </c>
      <c r="N23" s="67" t="s">
        <v>88</v>
      </c>
      <c r="O23" s="77">
        <v>0.32100000000000001</v>
      </c>
      <c r="P23" s="56">
        <f t="shared" si="2"/>
        <v>13.482000000000001</v>
      </c>
      <c r="Q23" s="49"/>
      <c r="R23" s="50"/>
    </row>
    <row r="24" spans="1:18" ht="19.5" thickBot="1" x14ac:dyDescent="0.3">
      <c r="A24" s="1"/>
      <c r="B24" s="33"/>
      <c r="C24" s="34" t="s">
        <v>5</v>
      </c>
      <c r="D24" s="35"/>
      <c r="E24" s="36"/>
      <c r="F24" s="37"/>
      <c r="G24" s="37"/>
      <c r="H24" s="36"/>
      <c r="I24" s="36"/>
      <c r="J24" s="37"/>
      <c r="K24" s="37"/>
      <c r="L24" s="37"/>
      <c r="M24" s="89" t="s">
        <v>110</v>
      </c>
      <c r="N24" s="90"/>
      <c r="O24" s="90"/>
      <c r="P24" s="79">
        <f>SUM(P10:P23)</f>
        <v>220.64230000000001</v>
      </c>
      <c r="Q24" s="85"/>
      <c r="R24" s="86"/>
    </row>
    <row r="25" spans="1:18" ht="19.5" thickBot="1" x14ac:dyDescent="0.3">
      <c r="A25" s="1"/>
      <c r="B25" s="25"/>
      <c r="C25" s="9" t="s">
        <v>6</v>
      </c>
      <c r="D25" s="10"/>
      <c r="E25" s="10"/>
      <c r="F25" s="10"/>
      <c r="G25" s="10"/>
      <c r="H25" s="10"/>
      <c r="I25" s="10"/>
      <c r="J25" s="10"/>
      <c r="K25" s="10"/>
      <c r="L25" s="10"/>
      <c r="M25" s="89" t="s">
        <v>111</v>
      </c>
      <c r="N25" s="90"/>
      <c r="O25" s="90"/>
      <c r="P25" s="80">
        <f>P24/5</f>
        <v>44.128460000000004</v>
      </c>
      <c r="Q25" s="87"/>
      <c r="R25" s="88"/>
    </row>
  </sheetData>
  <mergeCells count="5">
    <mergeCell ref="J1:R1"/>
    <mergeCell ref="Q24:R25"/>
    <mergeCell ref="M24:O24"/>
    <mergeCell ref="M25:O25"/>
    <mergeCell ref="Q3:R8"/>
  </mergeCells>
  <hyperlinks>
    <hyperlink ref="N11" r:id="rId1" xr:uid="{A31A8878-273D-426F-AD32-0998730774E5}"/>
    <hyperlink ref="N10" r:id="rId2" xr:uid="{29DC0929-B5AB-47BC-BFFA-D00E0022C560}"/>
    <hyperlink ref="N13" r:id="rId3" xr:uid="{3316A748-B8D9-4599-A88C-2479A2BBEEC0}"/>
    <hyperlink ref="N12" r:id="rId4" xr:uid="{803A24A0-A762-425E-AC20-EA07F09A9367}"/>
    <hyperlink ref="N14" r:id="rId5" xr:uid="{A4B2D320-5CBE-4BB2-B81F-320483F8FBAA}"/>
    <hyperlink ref="N15" r:id="rId6" xr:uid="{E7C8E6FA-51D5-49E8-8FF8-73BBC39BC3FD}"/>
    <hyperlink ref="N17" r:id="rId7" xr:uid="{29921090-CC44-4A46-8F19-A30767472E2A}"/>
    <hyperlink ref="N18" r:id="rId8" xr:uid="{7693C507-9AC2-4CA1-AE08-C5F9CAC53817}"/>
    <hyperlink ref="N19" r:id="rId9" xr:uid="{BD1D72C5-4EBC-4BD3-8DAE-1C9B36B8D6F8}"/>
    <hyperlink ref="N20" r:id="rId10" xr:uid="{61BC7777-7602-47EF-ADD6-D12FBA12DD65}"/>
    <hyperlink ref="N21" r:id="rId11" xr:uid="{F10993F3-EE03-4850-9ADA-3797259DD294}"/>
    <hyperlink ref="N23" r:id="rId12" xr:uid="{6724C2C5-3322-436E-8518-6AEF36CEAB8B}"/>
  </hyperlinks>
  <pageMargins left="0.7" right="0.7" top="0.75" bottom="0.75" header="0.3" footer="0.3"/>
  <pageSetup paperSize="9" orientation="portrait" r:id="rId13"/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87507-D41F-474A-B079-A5BCCAD8AD34}">
  <dimension ref="B1:D14"/>
  <sheetViews>
    <sheetView tabSelected="1" workbookViewId="0">
      <selection activeCell="G18" sqref="G18"/>
    </sheetView>
  </sheetViews>
  <sheetFormatPr defaultRowHeight="15" x14ac:dyDescent="0.25"/>
  <cols>
    <col min="2" max="2" width="3" bestFit="1" customWidth="1"/>
    <col min="3" max="3" width="12.5703125" bestFit="1" customWidth="1"/>
    <col min="4" max="4" width="20.28515625" bestFit="1" customWidth="1"/>
  </cols>
  <sheetData>
    <row r="1" spans="2:4" ht="15.75" thickBot="1" x14ac:dyDescent="0.3"/>
    <row r="2" spans="2:4" ht="15.75" thickBot="1" x14ac:dyDescent="0.3">
      <c r="B2" s="30" t="s">
        <v>4</v>
      </c>
      <c r="C2" s="31" t="s">
        <v>78</v>
      </c>
      <c r="D2" s="30" t="s">
        <v>84</v>
      </c>
    </row>
    <row r="3" spans="2:4" ht="15.75" thickBot="1" x14ac:dyDescent="0.3">
      <c r="B3" s="38">
        <v>1</v>
      </c>
      <c r="C3" s="58" t="s">
        <v>89</v>
      </c>
      <c r="D3" s="43">
        <v>60</v>
      </c>
    </row>
    <row r="4" spans="2:4" ht="15.75" thickBot="1" x14ac:dyDescent="0.3">
      <c r="B4" s="38">
        <v>2</v>
      </c>
      <c r="C4" s="52" t="s">
        <v>87</v>
      </c>
      <c r="D4" s="47">
        <v>50</v>
      </c>
    </row>
    <row r="5" spans="2:4" ht="15.75" thickBot="1" x14ac:dyDescent="0.3">
      <c r="B5" s="38">
        <v>3</v>
      </c>
      <c r="C5" s="44" t="s">
        <v>95</v>
      </c>
      <c r="D5" s="43">
        <v>100</v>
      </c>
    </row>
    <row r="6" spans="2:4" ht="15.75" thickBot="1" x14ac:dyDescent="0.3">
      <c r="B6" s="38">
        <v>4</v>
      </c>
      <c r="C6" s="52" t="s">
        <v>92</v>
      </c>
      <c r="D6" s="82">
        <v>50</v>
      </c>
    </row>
    <row r="7" spans="2:4" ht="15.75" thickBot="1" x14ac:dyDescent="0.3">
      <c r="B7" s="38">
        <v>5</v>
      </c>
      <c r="C7" s="44" t="s">
        <v>112</v>
      </c>
      <c r="D7" s="43">
        <v>100</v>
      </c>
    </row>
    <row r="8" spans="2:4" ht="15.75" thickBot="1" x14ac:dyDescent="0.3">
      <c r="B8" s="38">
        <v>6</v>
      </c>
      <c r="C8" s="48" t="s">
        <v>99</v>
      </c>
      <c r="D8" s="47">
        <v>42</v>
      </c>
    </row>
    <row r="9" spans="2:4" ht="15.75" thickBot="1" x14ac:dyDescent="0.3">
      <c r="B9" s="38">
        <v>7</v>
      </c>
      <c r="C9" s="97" t="s">
        <v>102</v>
      </c>
      <c r="D9" s="98">
        <v>100</v>
      </c>
    </row>
    <row r="10" spans="2:4" ht="15.75" thickBot="1" x14ac:dyDescent="0.3">
      <c r="B10" s="38">
        <v>8</v>
      </c>
      <c r="C10" s="99" t="s">
        <v>103</v>
      </c>
      <c r="D10" s="53">
        <v>300</v>
      </c>
    </row>
    <row r="11" spans="2:4" ht="15.75" thickBot="1" x14ac:dyDescent="0.3">
      <c r="B11" s="38">
        <v>9</v>
      </c>
      <c r="C11" s="97" t="s">
        <v>105</v>
      </c>
      <c r="D11" s="98">
        <v>100</v>
      </c>
    </row>
    <row r="12" spans="2:4" ht="15.75" thickBot="1" x14ac:dyDescent="0.3">
      <c r="B12" s="38">
        <v>10</v>
      </c>
      <c r="C12" s="99" t="s">
        <v>106</v>
      </c>
      <c r="D12" s="53">
        <v>45</v>
      </c>
    </row>
    <row r="13" spans="2:4" ht="15.75" thickBot="1" x14ac:dyDescent="0.3">
      <c r="B13" s="38">
        <v>11</v>
      </c>
      <c r="C13" s="97" t="s">
        <v>107</v>
      </c>
      <c r="D13" s="98">
        <v>100</v>
      </c>
    </row>
    <row r="14" spans="2:4" ht="15.75" thickBot="1" x14ac:dyDescent="0.3">
      <c r="B14" s="38">
        <v>12</v>
      </c>
      <c r="C14" s="81" t="s">
        <v>109</v>
      </c>
      <c r="D14" s="100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2022-06-24T14:17:52Z</dcterms:modified>
</cp:coreProperties>
</file>